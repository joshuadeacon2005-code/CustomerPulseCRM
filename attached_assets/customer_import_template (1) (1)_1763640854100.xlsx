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Template" sheetId="1" r:id="rId4"/>
  </sheets>
  <definedNames/>
  <calcPr/>
  <extLst>
    <ext uri="GoogleSheetsCustomDataVersion2">
      <go:sheetsCustomData xmlns:go="http://customooxmlschemas.google.com/" r:id="rId5" roundtripDataChecksum="hm0aJSTt6y+4RvaIDojz4dFRZ/A0AqVI1uM7SNY9iwQ="/>
    </ext>
  </extLst>
</workbook>
</file>

<file path=xl/sharedStrings.xml><?xml version="1.0" encoding="utf-8"?>
<sst xmlns="http://schemas.openxmlformats.org/spreadsheetml/2006/main" count="1392" uniqueCount="617">
  <si>
    <t>Company Name</t>
  </si>
  <si>
    <t>Email</t>
  </si>
  <si>
    <t>Phone</t>
  </si>
  <si>
    <t>Store Address</t>
  </si>
  <si>
    <t>Country</t>
  </si>
  <si>
    <t>Retailer Type</t>
  </si>
  <si>
    <t>Registered with BC</t>
  </si>
  <si>
    <t>Orders via BC</t>
  </si>
  <si>
    <t>First Order Date</t>
  </si>
  <si>
    <t>Quarterly Soft Target</t>
  </si>
  <si>
    <t>Lead Generated By</t>
  </si>
  <si>
    <t>Date of First Contact</t>
  </si>
  <si>
    <t>Last Contact Date</t>
  </si>
  <si>
    <t>Stage</t>
  </si>
  <si>
    <t>Contact Name</t>
  </si>
  <si>
    <t>Contact Title</t>
  </si>
  <si>
    <t>Contact Phone</t>
  </si>
  <si>
    <t>Contact Email</t>
  </si>
  <si>
    <t>Personal Notes</t>
  </si>
  <si>
    <t>Brands</t>
  </si>
  <si>
    <t>Account Manager</t>
  </si>
  <si>
    <t>ABC Baby Store</t>
  </si>
  <si>
    <t>abc@example.com</t>
  </si>
  <si>
    <t>+65 9123 4567</t>
  </si>
  <si>
    <t>123 Orchard Road #01-23</t>
  </si>
  <si>
    <t>Singapore</t>
  </si>
  <si>
    <t>Baby &amp; Nursery Multi-Site</t>
  </si>
  <si>
    <t>Yes</t>
  </si>
  <si>
    <t>2024-01-15</t>
  </si>
  <si>
    <t>15000</t>
  </si>
  <si>
    <t>Referral</t>
  </si>
  <si>
    <t>2023-11-20</t>
  </si>
  <si>
    <t>2024-10-15</t>
  </si>
  <si>
    <t>customer</t>
  </si>
  <si>
    <t>Jane Smith</t>
  </si>
  <si>
    <t>Purchasing Manager</t>
  </si>
  <si>
    <t>+65 9123 4568</t>
  </si>
  <si>
    <t>jane@abc.com</t>
  </si>
  <si>
    <t>Premium customer - quarterly orders</t>
  </si>
  <si>
    <t>Beaba, Ergobaby, Skip Hop</t>
  </si>
  <si>
    <t>Jamie Quinn</t>
  </si>
  <si>
    <t>David Jones</t>
  </si>
  <si>
    <t>melissa.dockery@davidjones.com.au</t>
  </si>
  <si>
    <t>Australia</t>
  </si>
  <si>
    <t>Department Store</t>
  </si>
  <si>
    <t>No</t>
  </si>
  <si>
    <t>Melissa Dockery</t>
  </si>
  <si>
    <t>Buyer</t>
  </si>
  <si>
    <t>Ergobaby, Skip Hop, Trunki, Beaba</t>
  </si>
  <si>
    <t>billie.spence@davidjones.com.au</t>
  </si>
  <si>
    <t>Billie Spence</t>
  </si>
  <si>
    <t>Merchandise Planner</t>
  </si>
  <si>
    <t>ore.blutman@davidjones.com.au</t>
  </si>
  <si>
    <t>Ore Blutman</t>
  </si>
  <si>
    <t>Buyers Assistant</t>
  </si>
  <si>
    <t>Baby Village</t>
  </si>
  <si>
    <t>marsha@babyvillage.com.au</t>
  </si>
  <si>
    <t>Marsha Bell</t>
  </si>
  <si>
    <t>All</t>
  </si>
  <si>
    <t>NSW Account Manager</t>
  </si>
  <si>
    <t>laura@babyvillage.com.au</t>
  </si>
  <si>
    <t>Laura Rimmer</t>
  </si>
  <si>
    <t>francesca@babyvillage.com.au</t>
  </si>
  <si>
    <t>Francesca Pezzuto</t>
  </si>
  <si>
    <t>CEO</t>
  </si>
  <si>
    <t>Amazon Australia</t>
  </si>
  <si>
    <t>smcil@amazon.com</t>
  </si>
  <si>
    <t>Online Only</t>
  </si>
  <si>
    <t>Steve Mcllwaine</t>
  </si>
  <si>
    <t>TJX Australia</t>
  </si>
  <si>
    <t>chloe_brooksdowsett@tjxaustralia.com.au</t>
  </si>
  <si>
    <t>Discount/Closeout</t>
  </si>
  <si>
    <t>Chloe Brooks-Dowsett</t>
  </si>
  <si>
    <t>Baby Kingdom</t>
  </si>
  <si>
    <t>greg@babykingdom.com.au</t>
  </si>
  <si>
    <t>Greg Gregory</t>
  </si>
  <si>
    <t>Managing Director</t>
  </si>
  <si>
    <t>chris@babykingdom.com.au</t>
  </si>
  <si>
    <t>Chris Gregory</t>
  </si>
  <si>
    <t>Finance</t>
  </si>
  <si>
    <t>george@babykingdom.com.au</t>
  </si>
  <si>
    <t>George Gregory</t>
  </si>
  <si>
    <t>Commercial Director</t>
  </si>
  <si>
    <t>steve@babykingdom.com.au</t>
  </si>
  <si>
    <t>Steve</t>
  </si>
  <si>
    <t>Store Manager - Alexandria</t>
  </si>
  <si>
    <t>angelo@babykingdom.com.au</t>
  </si>
  <si>
    <t>Angelo</t>
  </si>
  <si>
    <t>Inventory Control - Alexandria</t>
  </si>
  <si>
    <t>daniella@babykingdom.com.au</t>
  </si>
  <si>
    <t>Daniella</t>
  </si>
  <si>
    <t>Online</t>
  </si>
  <si>
    <t>web@babykingdom.com.au</t>
  </si>
  <si>
    <t>Irene</t>
  </si>
  <si>
    <t>Administration &amp; Accounts</t>
  </si>
  <si>
    <t>A Little Bit Wild</t>
  </si>
  <si>
    <t>info@bitwild.com.au</t>
  </si>
  <si>
    <t>61 457 588 297</t>
  </si>
  <si>
    <t>96 McDowall Street,</t>
  </si>
  <si>
    <t>Baby &amp; Nursery Independent</t>
  </si>
  <si>
    <t>yes</t>
  </si>
  <si>
    <t>Tabitha</t>
  </si>
  <si>
    <t>owner / manager</t>
  </si>
  <si>
    <t>awaiting 1st order</t>
  </si>
  <si>
    <t>TBC</t>
  </si>
  <si>
    <t>Kim Clarke</t>
  </si>
  <si>
    <t>Absolute Baby Shop Rockhampton</t>
  </si>
  <si>
    <t>absolutebaby.au@gmail.com</t>
  </si>
  <si>
    <t>61 437 412 676</t>
  </si>
  <si>
    <t>234 Lioncreek Road</t>
  </si>
  <si>
    <t>Rebecca</t>
  </si>
  <si>
    <t>all</t>
  </si>
  <si>
    <t>Arlows Closet</t>
  </si>
  <si>
    <t>hello@arlowscloset.com</t>
  </si>
  <si>
    <t>61 8 9768 0625</t>
  </si>
  <si>
    <t>12E, 42 Strickland street</t>
  </si>
  <si>
    <t>Michelle and Sarah</t>
  </si>
  <si>
    <t>Atherton Junagers</t>
  </si>
  <si>
    <t>info@juniorsonline.com.au</t>
  </si>
  <si>
    <t>61 407 441 684</t>
  </si>
  <si>
    <t>40 Main street</t>
  </si>
  <si>
    <t>Nicole</t>
  </si>
  <si>
    <t>SH, Bubble, Hippychick</t>
  </si>
  <si>
    <t>B Dynamic</t>
  </si>
  <si>
    <t>accounts@bdynamic.com.au</t>
  </si>
  <si>
    <t>1 Aristida Close</t>
  </si>
  <si>
    <t>Corporate</t>
  </si>
  <si>
    <t>Jaime</t>
  </si>
  <si>
    <t>buyer</t>
  </si>
  <si>
    <t>Baby Car Seats Fitting Gold Coast</t>
  </si>
  <si>
    <t>pablomswong@gmail.com</t>
  </si>
  <si>
    <t>0468 67 63 90</t>
  </si>
  <si>
    <t>14 Industry Drive</t>
  </si>
  <si>
    <t>Susan</t>
  </si>
  <si>
    <t>Baby Today</t>
  </si>
  <si>
    <t>sales@babytoday.com.au</t>
  </si>
  <si>
    <t>07 4951 1795</t>
  </si>
  <si>
    <t>127 Sydney Street</t>
  </si>
  <si>
    <t>Jamal</t>
  </si>
  <si>
    <t>Baby Zone (new)</t>
  </si>
  <si>
    <t>hello@babyzone.com.au</t>
  </si>
  <si>
    <t>08 9250 1698</t>
  </si>
  <si>
    <t>203 Great Eastern Highway</t>
  </si>
  <si>
    <t>Alecia</t>
  </si>
  <si>
    <t>SH,Bubble PH Ubbi</t>
  </si>
  <si>
    <t>Bebe Bits</t>
  </si>
  <si>
    <t>cherie@bebebits.com.au</t>
  </si>
  <si>
    <t>08 9842 8001</t>
  </si>
  <si>
    <t>370 Middleton Loop</t>
  </si>
  <si>
    <t>Cherie</t>
  </si>
  <si>
    <t>Bubble Ergo Hippychic</t>
  </si>
  <si>
    <t>Blossoming Bump</t>
  </si>
  <si>
    <t>blossomingbump_boutique@outlook.com</t>
  </si>
  <si>
    <t>+61 402 161 248</t>
  </si>
  <si>
    <t>275B Pinarra Road</t>
  </si>
  <si>
    <t>Liz</t>
  </si>
  <si>
    <t>Bubble Ergo PH</t>
  </si>
  <si>
    <t>Bubs n Grubs</t>
  </si>
  <si>
    <t>judy@bubsngrubs.com.au</t>
  </si>
  <si>
    <t>07 3114 3181</t>
  </si>
  <si>
    <t>4/229 Junction Road</t>
  </si>
  <si>
    <t>Judy and Frank</t>
  </si>
  <si>
    <t>Busy Kids</t>
  </si>
  <si>
    <t>busykids1@optusnet.com.au</t>
  </si>
  <si>
    <t>0408 339 733</t>
  </si>
  <si>
    <t>Shop 53, Pialba Place</t>
  </si>
  <si>
    <t>bubble SH</t>
  </si>
  <si>
    <t>Chalet Essentials Pty Ltd</t>
  </si>
  <si>
    <r>
      <rPr>
        <rFont val="Arial, sans-serif"/>
        <color rgb="FF1155CC"/>
        <sz val="8.0"/>
        <u/>
      </rPr>
      <t>michelle@chaletessentials.com.au</t>
    </r>
  </si>
  <si>
    <t>0420 427 743</t>
  </si>
  <si>
    <t>Care of STORAGE KING</t>
  </si>
  <si>
    <t>Michelle</t>
  </si>
  <si>
    <t>michelle@chaletessentials.com.au</t>
  </si>
  <si>
    <t>Ubbi, SH , Trunki, Beaba</t>
  </si>
  <si>
    <t>Cherrie Baby</t>
  </si>
  <si>
    <t>accounts@cherriebaby.com.au</t>
  </si>
  <si>
    <t>0439 461 233</t>
  </si>
  <si>
    <t>79 Main Street</t>
  </si>
  <si>
    <t>Sophie</t>
  </si>
  <si>
    <t>SH Bubble</t>
  </si>
  <si>
    <t>GB eCommerce Pty Ltd</t>
  </si>
  <si>
    <t>nathan@gbecommerce.com.au</t>
  </si>
  <si>
    <t>PO Box 85</t>
  </si>
  <si>
    <t>Nathan</t>
  </si>
  <si>
    <t>Trunki SH</t>
  </si>
  <si>
    <t>Hire for Baby - Busselton &amp; South West</t>
  </si>
  <si>
    <t>busselton@hireforbaby.com</t>
  </si>
  <si>
    <t>08 9742 1212</t>
  </si>
  <si>
    <t>73 Cook St</t>
  </si>
  <si>
    <t>Jo Mclean</t>
  </si>
  <si>
    <t>House of Babes</t>
  </si>
  <si>
    <t>houseofbabes@tpg.com.au</t>
  </si>
  <si>
    <t>08 9021 8218</t>
  </si>
  <si>
    <t>100 Hannan Street</t>
  </si>
  <si>
    <t>Eileen</t>
  </si>
  <si>
    <t>Hurley Burley Toys</t>
  </si>
  <si>
    <t>info@hurleyburleytoys.com.au</t>
  </si>
  <si>
    <t>(07) 5526 4925</t>
  </si>
  <si>
    <t>2/19 Warehouse Rd</t>
  </si>
  <si>
    <t>Toy Store</t>
  </si>
  <si>
    <t>Liz Van der meer</t>
  </si>
  <si>
    <t>SH</t>
  </si>
  <si>
    <t>Juno Kids Australia</t>
  </si>
  <si>
    <t>junokids@mail.com</t>
  </si>
  <si>
    <t>61 405 700 148</t>
  </si>
  <si>
    <t>Karrinyup Shopping Centre S225</t>
  </si>
  <si>
    <t>Ana Corona</t>
  </si>
  <si>
    <t>Kangatraining Banyo</t>
  </si>
  <si>
    <t>kangatrainingbanyo@gmail.com</t>
  </si>
  <si>
    <t>77 Mellifont Street</t>
  </si>
  <si>
    <t>Kirsty Jensen</t>
  </si>
  <si>
    <t>ergo</t>
  </si>
  <si>
    <t>Kiddie Pop Pty Ltd</t>
  </si>
  <si>
    <t>sales.kiddiepop@gmail.com</t>
  </si>
  <si>
    <t>39 Diana Drive</t>
  </si>
  <si>
    <t>Carol</t>
  </si>
  <si>
    <t>Little Miss Ellie</t>
  </si>
  <si>
    <t>admin@littlemissellie.com</t>
  </si>
  <si>
    <t>61 422 361 513</t>
  </si>
  <si>
    <t>6/9 McKinnon Road</t>
  </si>
  <si>
    <t>Ellie</t>
  </si>
  <si>
    <t>Suavinex ergo beaba</t>
  </si>
  <si>
    <t>Little Rompers</t>
  </si>
  <si>
    <t>info@littlerompers.com.au</t>
  </si>
  <si>
    <t>08 8948 3633</t>
  </si>
  <si>
    <t>Shop 6 / 8 Osgood Drive</t>
  </si>
  <si>
    <t>Sam</t>
  </si>
  <si>
    <t>Lynns Leather &amp; Luggage</t>
  </si>
  <si>
    <t>lynn_b1@hotmail.com</t>
  </si>
  <si>
    <t>317 Walcott Street</t>
  </si>
  <si>
    <t>Luggage Store</t>
  </si>
  <si>
    <t>Lyn</t>
  </si>
  <si>
    <t>Motherworld Pty Ltd</t>
  </si>
  <si>
    <r>
      <rPr>
        <rFont val="Arial, sans-serif"/>
        <color rgb="FF1155CC"/>
        <sz val="8.0"/>
        <u/>
      </rPr>
      <t>linneth@cnpbrands.com.au</t>
    </r>
  </si>
  <si>
    <t>03 5222 2483</t>
  </si>
  <si>
    <t>13 Shiny Drive,</t>
  </si>
  <si>
    <t>Linneth</t>
  </si>
  <si>
    <t>sales admin</t>
  </si>
  <si>
    <t>linneth@cnpbrands.com.au</t>
  </si>
  <si>
    <t>My Baby Cairns</t>
  </si>
  <si>
    <t>accounts@mybabycairns.com.au</t>
  </si>
  <si>
    <t>5/ 304-308 Mulgrave Road</t>
  </si>
  <si>
    <t>Lynn</t>
  </si>
  <si>
    <t>Novita Gifts</t>
  </si>
  <si>
    <t>Anndemarcox12@hotmail.com</t>
  </si>
  <si>
    <t>08 8952 7606</t>
  </si>
  <si>
    <t>33 Todd Mall</t>
  </si>
  <si>
    <t>Anne</t>
  </si>
  <si>
    <t>Oh Mia Bambina Pty Ltd</t>
  </si>
  <si>
    <t>hello@ohmiabambina.com.au</t>
  </si>
  <si>
    <t>8/165-167 Rosedale Road</t>
  </si>
  <si>
    <t>Karin</t>
  </si>
  <si>
    <t>Organic Bloom</t>
  </si>
  <si>
    <t>michellemareebury@gmail.com</t>
  </si>
  <si>
    <t>1 Porrima Street</t>
  </si>
  <si>
    <t>Michelle Maree</t>
  </si>
  <si>
    <t>beaba</t>
  </si>
  <si>
    <t>Palmerston Bags</t>
  </si>
  <si>
    <t>nlp@joon.net.au</t>
  </si>
  <si>
    <t>08 8932 9848</t>
  </si>
  <si>
    <t>Shop T3, Palmerston Shopping Centre</t>
  </si>
  <si>
    <t>Natalie La Pira</t>
  </si>
  <si>
    <t>trunki SH</t>
  </si>
  <si>
    <t>Popink</t>
  </si>
  <si>
    <t>purchasing@popink.com.au</t>
  </si>
  <si>
    <t>02 9907 4504</t>
  </si>
  <si>
    <t>6/81 Frenchs Forest Road East</t>
  </si>
  <si>
    <t>Robyn &amp; Alishia</t>
  </si>
  <si>
    <t>buyer/admin</t>
  </si>
  <si>
    <t>Trunki SH Beaba</t>
  </si>
  <si>
    <t>River and Lily</t>
  </si>
  <si>
    <t>info@riverandlily.com.au</t>
  </si>
  <si>
    <t>43 Port Hacking Road</t>
  </si>
  <si>
    <t>Zeina</t>
  </si>
  <si>
    <t>sh bubble</t>
  </si>
  <si>
    <t>Rofis Baby Online Store</t>
  </si>
  <si>
    <t>yan.liu@rofisbaby.com.au</t>
  </si>
  <si>
    <t>D307 / 106 Queens Road</t>
  </si>
  <si>
    <t>Discount</t>
  </si>
  <si>
    <t>Yan</t>
  </si>
  <si>
    <t>Room for Two</t>
  </si>
  <si>
    <t>lene@roomfortwo.com.au</t>
  </si>
  <si>
    <t>Cockburn Gateway Shopping Ctr</t>
  </si>
  <si>
    <t>Lene</t>
  </si>
  <si>
    <t>ubbi PH</t>
  </si>
  <si>
    <t>Sarah J Home Decor</t>
  </si>
  <si>
    <t>sarahj1@tpg.com.au</t>
  </si>
  <si>
    <t>07 3356 7161</t>
  </si>
  <si>
    <t>10 Robel Street</t>
  </si>
  <si>
    <t>Sarah</t>
  </si>
  <si>
    <t>Skillbuilders Therapy Svcs &amp; Products for Children</t>
  </si>
  <si>
    <t>caryn@skillbuilders.com.au</t>
  </si>
  <si>
    <t>08 9417 4903</t>
  </si>
  <si>
    <t>Unit 1/24 Hammond Road</t>
  </si>
  <si>
    <t>Therapy</t>
  </si>
  <si>
    <t>Penny</t>
  </si>
  <si>
    <t>beaba oxo</t>
  </si>
  <si>
    <t>Swaddle Shop</t>
  </si>
  <si>
    <t>blake@swaddleshop.com.au</t>
  </si>
  <si>
    <t>0449 184 515</t>
  </si>
  <si>
    <t>18 Kooranga Cres</t>
  </si>
  <si>
    <t>Blake</t>
  </si>
  <si>
    <t>ergo trunki SH</t>
  </si>
  <si>
    <t>Terry White Chemmart</t>
  </si>
  <si>
    <t>chesterpassalbany@terrywhitechemmart.com.au</t>
  </si>
  <si>
    <t>08 9841 3841</t>
  </si>
  <si>
    <t>Shop 3 Chester Pass Mall</t>
  </si>
  <si>
    <t>Pharmacy</t>
  </si>
  <si>
    <t>Brad</t>
  </si>
  <si>
    <t>The Bay Tree Gifts and Homewares</t>
  </si>
  <si>
    <t>thebaytree5@bigpond.com</t>
  </si>
  <si>
    <t>07 4038 3135</t>
  </si>
  <si>
    <t>Shop 162-163 Smithfield S/C</t>
  </si>
  <si>
    <t>Kiri</t>
  </si>
  <si>
    <t>The Mini Munchkins</t>
  </si>
  <si>
    <t>admin@theminimunchkins.com.au</t>
  </si>
  <si>
    <t>37 Targo Street</t>
  </si>
  <si>
    <t>TT Grace Pty Ltd</t>
  </si>
  <si>
    <t>info@austtbaby.com.au</t>
  </si>
  <si>
    <t>Unit 3, 55 Marshall Ave</t>
  </si>
  <si>
    <t>TTN Babywarehouse</t>
  </si>
  <si>
    <t>melanie@ttn.net.au</t>
  </si>
  <si>
    <t>3/824 Fifteenth Street</t>
  </si>
  <si>
    <t>Melanie</t>
  </si>
  <si>
    <t>Tubie Fun</t>
  </si>
  <si>
    <t>info@tubiefun.com.au</t>
  </si>
  <si>
    <t>4 Hansen Court</t>
  </si>
  <si>
    <t>Stacey</t>
  </si>
  <si>
    <t>skip hop</t>
  </si>
  <si>
    <t>Warrnambool Breast Feeding Centre</t>
  </si>
  <si>
    <t>info@breastfeedingconferences.com.au</t>
  </si>
  <si>
    <t>0488 757 334</t>
  </si>
  <si>
    <t>141 Koroit Street,</t>
  </si>
  <si>
    <t>Barabara</t>
  </si>
  <si>
    <t>Adoreu Tasmania</t>
  </si>
  <si>
    <r>
      <rPr>
        <rFont val="&quot;Aptos Narrow&quot;, sans-serif"/>
        <color rgb="FF1155CC"/>
        <sz val="11.0"/>
        <u/>
      </rPr>
      <t>enquiries@adoreu.com.au</t>
    </r>
  </si>
  <si>
    <t>Amanda and Jaz</t>
  </si>
  <si>
    <r>
      <rPr>
        <rFont val="&quot;Aptos Narrow&quot;, sans-serif"/>
        <color rgb="FF1155CC"/>
        <sz val="11.0"/>
        <u/>
      </rPr>
      <t>enquiries@adoreu.com.au</t>
    </r>
  </si>
  <si>
    <t>Vanessa Foster</t>
  </si>
  <si>
    <t>All4kids</t>
  </si>
  <si>
    <t>allforkidsonline@gmail.com</t>
  </si>
  <si>
    <t>online only</t>
  </si>
  <si>
    <t>Elva</t>
  </si>
  <si>
    <t>Baby Carriers Australia</t>
  </si>
  <si>
    <t>sean@babybrands.com.au</t>
  </si>
  <si>
    <t>Baby Food Bible</t>
  </si>
  <si>
    <r>
      <rPr>
        <rFont val="&quot;Aptos Narrow&quot;, sans-serif"/>
        <color rgb="FF1155CC"/>
        <sz val="11.0"/>
        <u/>
      </rPr>
      <t>hello@babyfoodbible.com</t>
    </r>
  </si>
  <si>
    <t>Lauren</t>
  </si>
  <si>
    <r>
      <rPr>
        <rFont val="&quot;Aptos Narrow&quot;, sans-serif"/>
        <color rgb="FF1155CC"/>
        <sz val="11.0"/>
        <u/>
      </rPr>
      <t>hello@babyfoodbible.com</t>
    </r>
  </si>
  <si>
    <t>Baby Junction</t>
  </si>
  <si>
    <t>info@babyjunction.com.au</t>
  </si>
  <si>
    <t>Brooke</t>
  </si>
  <si>
    <t>Baby Little Planet Pty Ltd</t>
  </si>
  <si>
    <t>thida.n@babylittleplanet.com.au</t>
  </si>
  <si>
    <t>Thida</t>
  </si>
  <si>
    <t>Baby Train</t>
  </si>
  <si>
    <r>
      <rPr>
        <rFont val="&quot;Aptos Narrow&quot;, sans-serif"/>
        <color rgb="FF1155CC"/>
        <sz val="11.0"/>
        <u/>
      </rPr>
      <t>steph@babytrain.com.au</t>
    </r>
  </si>
  <si>
    <t>Stephanie</t>
  </si>
  <si>
    <r>
      <rPr>
        <rFont val="&quot;Aptos Narrow&quot;, sans-serif"/>
        <color rgb="FF1155CC"/>
        <sz val="11.0"/>
        <u/>
      </rPr>
      <t>steph@babytrain.com.au</t>
    </r>
  </si>
  <si>
    <t>Babyland - Osborne Park</t>
  </si>
  <si>
    <t>info@babyland.com.au</t>
  </si>
  <si>
    <t>Ange</t>
  </si>
  <si>
    <t>Babyroad</t>
  </si>
  <si>
    <t>purchase@babyroad.com.au</t>
  </si>
  <si>
    <t>Charmaine</t>
  </si>
  <si>
    <t>Bags to go</t>
  </si>
  <si>
    <r>
      <rPr>
        <rFont val="&quot;Aptos Narrow&quot;, sans-serif"/>
        <color rgb="FF1155CC"/>
        <sz val="11.0"/>
        <u/>
      </rPr>
      <t>andrew@bagstogo.com.au</t>
    </r>
  </si>
  <si>
    <t>Andrew</t>
  </si>
  <si>
    <r>
      <rPr>
        <rFont val="&quot;Aptos Narrow&quot;, sans-serif"/>
        <color rgb="FF1155CC"/>
        <sz val="11.0"/>
        <u/>
      </rPr>
      <t>andrew@bagstogo.com.au</t>
    </r>
  </si>
  <si>
    <t>Bonita Leather &amp; Accessories</t>
  </si>
  <si>
    <t>admin@bonitaleather.com.au</t>
  </si>
  <si>
    <t xml:space="preserve">gift store </t>
  </si>
  <si>
    <t>Debbie</t>
  </si>
  <si>
    <t>Canterbury kids</t>
  </si>
  <si>
    <r>
      <rPr>
        <rFont val="&quot;Aptos Narrow&quot;, sans-serif"/>
        <color rgb="FF1155CC"/>
        <sz val="11.0"/>
        <u/>
      </rPr>
      <t>canterburykidsonline@gmail.com</t>
    </r>
  </si>
  <si>
    <t xml:space="preserve">boutique store </t>
  </si>
  <si>
    <t>Monique</t>
  </si>
  <si>
    <r>
      <rPr>
        <rFont val="&quot;Aptos Narrow&quot;, sans-serif"/>
        <color rgb="FF1155CC"/>
        <sz val="11.0"/>
        <u/>
      </rPr>
      <t>canterburykidsonline@gmail.com</t>
    </r>
  </si>
  <si>
    <t>Childplay</t>
  </si>
  <si>
    <r>
      <rPr>
        <rFont val="&quot;Aptos Narrow&quot;, sans-serif"/>
        <color rgb="FF1155CC"/>
        <sz val="11.0"/>
        <u/>
      </rPr>
      <t>kazlee@outlook.com.au</t>
    </r>
  </si>
  <si>
    <t>toy store</t>
  </si>
  <si>
    <t>Karen</t>
  </si>
  <si>
    <r>
      <rPr>
        <rFont val="&quot;Aptos Narrow&quot;, sans-serif"/>
        <color rgb="FF1155CC"/>
        <sz val="11.0"/>
        <u/>
      </rPr>
      <t>kazlee@outlook.com.au</t>
    </r>
  </si>
  <si>
    <t>Cosimer Pty Ltd</t>
  </si>
  <si>
    <t>remi@cosimer.com.au</t>
  </si>
  <si>
    <t xml:space="preserve">online only </t>
  </si>
  <si>
    <t>Remi</t>
  </si>
  <si>
    <t>Country Kids</t>
  </si>
  <si>
    <t>sales@countrykids.net.au</t>
  </si>
  <si>
    <t>Nola</t>
  </si>
  <si>
    <t>Enchanted by books</t>
  </si>
  <si>
    <r>
      <rPr>
        <rFont val="&quot;Aptos Narrow&quot;, sans-serif"/>
        <color rgb="FF1155CC"/>
        <sz val="11.0"/>
        <u/>
      </rPr>
      <t>enchantedyears@gmail.com</t>
    </r>
  </si>
  <si>
    <t>Laura</t>
  </si>
  <si>
    <r>
      <rPr>
        <rFont val="&quot;Aptos Narrow&quot;, sans-serif"/>
        <color rgb="FF1155CC"/>
        <sz val="11.0"/>
        <u/>
      </rPr>
      <t>enchantedyears@gmail.com</t>
    </r>
  </si>
  <si>
    <t>Fifth Ave</t>
  </si>
  <si>
    <r>
      <rPr>
        <rFont val="&quot;Aptos Narrow&quot;, sans-serif"/>
        <color rgb="FF1155CC"/>
        <sz val="11.0"/>
        <u/>
      </rPr>
      <t>admin@travellershop.com.au</t>
    </r>
  </si>
  <si>
    <t xml:space="preserve">luggage store </t>
  </si>
  <si>
    <t>Stuart</t>
  </si>
  <si>
    <r>
      <rPr>
        <rFont val="&quot;Aptos Narrow&quot;, sans-serif"/>
        <color rgb="FF1155CC"/>
        <sz val="11.0"/>
        <u/>
      </rPr>
      <t>admin@travellershop.com.au</t>
    </r>
  </si>
  <si>
    <t>G Bags - Chadstone</t>
  </si>
  <si>
    <t>juanluo1970@gmail.com</t>
  </si>
  <si>
    <t>Juan Luo</t>
  </si>
  <si>
    <t>G Bags - Fountain Gate</t>
  </si>
  <si>
    <t>gbagsfountaingaterzt@hotmail.com</t>
  </si>
  <si>
    <t>Faye</t>
  </si>
  <si>
    <t>HealthSmart Pharmacy Melbourne</t>
  </si>
  <si>
    <t>health.smartshop@live.com.au</t>
  </si>
  <si>
    <t xml:space="preserve">pharmacy </t>
  </si>
  <si>
    <t>Mandy and Danielle</t>
  </si>
  <si>
    <t>Hello Youngster</t>
  </si>
  <si>
    <t>shop@helloyoungster.com.au</t>
  </si>
  <si>
    <t>baby boutique</t>
  </si>
  <si>
    <t>Caroline</t>
  </si>
  <si>
    <t>Inside Home and Gifts</t>
  </si>
  <si>
    <t>launceston@inside.com.au</t>
  </si>
  <si>
    <t>Jane</t>
  </si>
  <si>
    <t>Just Juniors</t>
  </si>
  <si>
    <t>justjuniorsretail@gmail.com</t>
  </si>
  <si>
    <t>Rachel</t>
  </si>
  <si>
    <t>Kiddie Country</t>
  </si>
  <si>
    <t>accounts@kiddiecountry.com.au</t>
  </si>
  <si>
    <t>Closing 16th Nov 25</t>
  </si>
  <si>
    <t>Martine and Mike</t>
  </si>
  <si>
    <t>Kinderplay</t>
  </si>
  <si>
    <r>
      <rPr>
        <rFont val="&quot;Aptos Narrow&quot;, sans-serif"/>
        <color rgb="FF1155CC"/>
        <sz val="11.0"/>
        <u/>
      </rPr>
      <t>toys@kinderplay.com.au</t>
    </r>
  </si>
  <si>
    <t xml:space="preserve">toy store </t>
  </si>
  <si>
    <t>Nicola</t>
  </si>
  <si>
    <r>
      <rPr>
        <rFont val="&quot;Aptos Narrow&quot;, sans-serif"/>
        <color rgb="FF1155CC"/>
        <sz val="11.0"/>
        <u/>
      </rPr>
      <t>toys@kinderplay.com.au</t>
    </r>
  </si>
  <si>
    <t>KJ Essentials</t>
  </si>
  <si>
    <t>kelly.jones@kjessentials.com.au</t>
  </si>
  <si>
    <t>Kelly</t>
  </si>
  <si>
    <t>Little Teehouse Lane</t>
  </si>
  <si>
    <r>
      <rPr>
        <rFont val="&quot;Aptos Narrow&quot;, sans-serif"/>
        <color rgb="FF1155CC"/>
        <sz val="11.0"/>
        <u/>
      </rPr>
      <t>info@littletreehuselane.com.au</t>
    </r>
  </si>
  <si>
    <t>Nyomi</t>
  </si>
  <si>
    <r>
      <rPr>
        <rFont val="&quot;Aptos Narrow&quot;, sans-serif"/>
        <color rgb="FF1155CC"/>
        <sz val="11.0"/>
        <u/>
      </rPr>
      <t>info@littletreehuselane.com.au</t>
    </r>
  </si>
  <si>
    <t>Metro Baby Pty Ltd</t>
  </si>
  <si>
    <t>lingling@metro-baby.com.au</t>
  </si>
  <si>
    <t>Ling Ling</t>
  </si>
  <si>
    <t>Mornington Baby Goods Warehouse</t>
  </si>
  <si>
    <t>info@babygoodswarehouse.com.au</t>
  </si>
  <si>
    <t>Adele</t>
  </si>
  <si>
    <t>Mothergoose</t>
  </si>
  <si>
    <r>
      <rPr>
        <rFont val="&quot;Aptos Narrow&quot;, sans-serif"/>
        <color rgb="FF1155CC"/>
        <sz val="11.0"/>
        <u/>
      </rPr>
      <t>mothergoosebabyshop@gmail.com</t>
    </r>
  </si>
  <si>
    <t>Allison</t>
  </si>
  <si>
    <r>
      <rPr>
        <rFont val="&quot;Aptos Narrow&quot;, sans-serif"/>
        <color rgb="FF1155CC"/>
        <sz val="11.0"/>
        <u/>
      </rPr>
      <t>mothergoosebabyshop@gmail.com</t>
    </r>
  </si>
  <si>
    <t>My Honey Baby</t>
  </si>
  <si>
    <t>vicky.311@hotmail.com</t>
  </si>
  <si>
    <t>Vicky</t>
  </si>
  <si>
    <t>Out of the Cot</t>
  </si>
  <si>
    <t>info@ootc.com.au</t>
  </si>
  <si>
    <t>Emma</t>
  </si>
  <si>
    <t>Outdoors on Parade</t>
  </si>
  <si>
    <t>sales@outdoorsonparade.com.au</t>
  </si>
  <si>
    <t>Annie</t>
  </si>
  <si>
    <t>Peekaboobaby.com.au - BlankBrand Pty Ltd</t>
  </si>
  <si>
    <t>hello@peekaboobaby.com.au</t>
  </si>
  <si>
    <t>Ewnice</t>
  </si>
  <si>
    <t>Pera - Northland (Mrs. Min Chen)</t>
  </si>
  <si>
    <t>chenmin3036c@hotmail.com</t>
  </si>
  <si>
    <t xml:space="preserve">lugggage store </t>
  </si>
  <si>
    <t>CHEN</t>
  </si>
  <si>
    <t>Perth Zoo</t>
  </si>
  <si>
    <t>karen.hazell@dbca.wa.gov.au</t>
  </si>
  <si>
    <t xml:space="preserve">Zoo gift store </t>
  </si>
  <si>
    <t>Serenity Kids</t>
  </si>
  <si>
    <r>
      <rPr>
        <rFont val="&quot;Aptos Narrow&quot;, sans-serif"/>
        <color rgb="FF1155CC"/>
        <sz val="11.0"/>
        <u/>
      </rPr>
      <t>serenity.kids@outlook.cim</t>
    </r>
  </si>
  <si>
    <t>Omaya</t>
  </si>
  <si>
    <r>
      <rPr>
        <rFont val="&quot;Aptos Narrow&quot;, sans-serif"/>
        <color rgb="FF1155CC"/>
        <sz val="11.0"/>
        <u/>
      </rPr>
      <t>serenity.kids@outlook.cim</t>
    </r>
  </si>
  <si>
    <t>Stork Talk</t>
  </si>
  <si>
    <r>
      <rPr>
        <rFont val="&quot;Aptos Narrow&quot;, sans-serif"/>
        <color rgb="FF1155CC"/>
        <sz val="11.0"/>
        <u/>
      </rPr>
      <t>enquiries@adoreu.com.au</t>
    </r>
  </si>
  <si>
    <t>Jaz and Amanda</t>
  </si>
  <si>
    <r>
      <rPr>
        <rFont val="&quot;Aptos Narrow&quot;, sans-serif"/>
        <color rgb="FF1155CC"/>
        <sz val="11.0"/>
        <u/>
      </rPr>
      <t>enquiries@adoreu.com.au</t>
    </r>
  </si>
  <si>
    <t>Sweet Lullabies</t>
  </si>
  <si>
    <t>sales@sweetlullabies.com.au</t>
  </si>
  <si>
    <t>The Baby Gallery</t>
  </si>
  <si>
    <t>services@thebabygallery.com.au</t>
  </si>
  <si>
    <t>Qiaochu</t>
  </si>
  <si>
    <t>The Playroom Osborne Park</t>
  </si>
  <si>
    <t>osbornepk@theplayroom.com.au</t>
  </si>
  <si>
    <t>Sue</t>
  </si>
  <si>
    <t>Tiny Tots Baby Store Pty Ltd</t>
  </si>
  <si>
    <t>info@tinytotsbabystore.com</t>
  </si>
  <si>
    <t>Tots Baby Store</t>
  </si>
  <si>
    <t>Tobil &amp; Co (iCandy Australia)</t>
  </si>
  <si>
    <t>vikki@tobil.com.au</t>
  </si>
  <si>
    <t>Vikki</t>
  </si>
  <si>
    <t>Uber and Klein Novel Pty Ltd</t>
  </si>
  <si>
    <t>rosemei@uberandklein.com.au</t>
  </si>
  <si>
    <t>Gift stores</t>
  </si>
  <si>
    <t>Rose</t>
  </si>
  <si>
    <t>Westside Pharmacy</t>
  </si>
  <si>
    <t>staff@westsidepharmacy.com.au</t>
  </si>
  <si>
    <t xml:space="preserve">Pharmacy </t>
  </si>
  <si>
    <t>Kim</t>
  </si>
  <si>
    <t>A&amp;H New Baby Limited</t>
  </si>
  <si>
    <t>ahnewbabyltd@gmail.com</t>
  </si>
  <si>
    <t>1/7 Emma Court,</t>
  </si>
  <si>
    <t>New Zealand</t>
  </si>
  <si>
    <t>Baby City Limited</t>
  </si>
  <si>
    <t>accounts.payables@babycity.co.nz</t>
  </si>
  <si>
    <t>102 Daniell Street</t>
  </si>
  <si>
    <t>Baby Depot</t>
  </si>
  <si>
    <t>info@babydepot.co.nz</t>
  </si>
  <si>
    <t>09 620 460</t>
  </si>
  <si>
    <t>365 Mount Albert Road</t>
  </si>
  <si>
    <t>Baby on the Move 2008 Limited (NZ)</t>
  </si>
  <si>
    <t>accounts@babyonthemove.co.nz</t>
  </si>
  <si>
    <t>03547 2244</t>
  </si>
  <si>
    <t>4 / 4 Fayette Lane</t>
  </si>
  <si>
    <t>Babylove NZ</t>
  </si>
  <si>
    <t>babyloveltd@hotmail.co.nz</t>
  </si>
  <si>
    <t>482 St Aubyn Street</t>
  </si>
  <si>
    <t>Baby Bunting</t>
  </si>
  <si>
    <t>service.albany@babybunting.co.nz</t>
  </si>
  <si>
    <t>09 414 2244</t>
  </si>
  <si>
    <t>Albany Lifestyle Centre</t>
  </si>
  <si>
    <t>Bear and Moo Limited</t>
  </si>
  <si>
    <t>accounts@bearandmoo.co.nz</t>
  </si>
  <si>
    <t>CMPS Limited - Winkalotts</t>
  </si>
  <si>
    <t>sales@winkalotts.co.nz</t>
  </si>
  <si>
    <t>027 2881854</t>
  </si>
  <si>
    <t>21 Fairfield Road</t>
  </si>
  <si>
    <t>David Jones (NZ) Pty Ltd</t>
  </si>
  <si>
    <t>michelle@bloomandgrowasia.com</t>
  </si>
  <si>
    <t>Digilink Limited (NZ) Mummum Store</t>
  </si>
  <si>
    <t>store@mummum.co.nz</t>
  </si>
  <si>
    <t>Unit 38A Botany Junction</t>
  </si>
  <si>
    <t>Dimples by Jane Anne Limited (NZ)</t>
  </si>
  <si>
    <t>Felicity@dimples.co.nz</t>
  </si>
  <si>
    <t>9360 2000</t>
  </si>
  <si>
    <t>308B Rosebank Road</t>
  </si>
  <si>
    <t>Harvey Norman Head Office - Dropship NZ</t>
  </si>
  <si>
    <t>dropship.online@nz.harveynorman.com</t>
  </si>
  <si>
    <t>Private Bag 94035</t>
  </si>
  <si>
    <t>HealthPost Limited</t>
  </si>
  <si>
    <t>inventory@healthpost.co.nz</t>
  </si>
  <si>
    <t>0800 148 148</t>
  </si>
  <si>
    <t>30 Orion Street</t>
  </si>
  <si>
    <t>Hyphen Kidz Limited (NZ)</t>
  </si>
  <si>
    <t>nicole@hyphenkidz.co.nz</t>
  </si>
  <si>
    <t>09 2738993</t>
  </si>
  <si>
    <t>8 Franshell Crescent</t>
  </si>
  <si>
    <t>J Ballantynes &amp; Co Limited</t>
  </si>
  <si>
    <t>payables@ballantynes.co.nz</t>
  </si>
  <si>
    <t>Accounts Payable</t>
  </si>
  <si>
    <t>Kia Ora Baby NZ Ltd</t>
  </si>
  <si>
    <t>info@kiaorababy.co.nz</t>
  </si>
  <si>
    <t>Shop 9, Roselands Shopping Centre</t>
  </si>
  <si>
    <t>Mighty Ape Limited (NZ)</t>
  </si>
  <si>
    <t>accounts@mightyape.co.nz</t>
  </si>
  <si>
    <t>24-28 Highgate Parkway</t>
  </si>
  <si>
    <t>Mom Store Limited</t>
  </si>
  <si>
    <t>hello@momstore.co.nz</t>
  </si>
  <si>
    <t>101 Willoughby Street</t>
  </si>
  <si>
    <t>Narrativ NZ Ltd</t>
  </si>
  <si>
    <t>narrativnzsales@gmail.com</t>
  </si>
  <si>
    <t>65 Alexander Street</t>
  </si>
  <si>
    <t>Nelly Boo Limited</t>
  </si>
  <si>
    <t>accounts@nellyboo.co.nz</t>
  </si>
  <si>
    <t>Rotorua Central Shop 14</t>
  </si>
  <si>
    <t>NZ Brandz Limited</t>
  </si>
  <si>
    <t>admin@lilmoo.co.nz</t>
  </si>
  <si>
    <t>76 Westpoint Drive</t>
  </si>
  <si>
    <t>Parnell Baby Boutique</t>
  </si>
  <si>
    <t>katy@parnellbabyboutique.co.nz</t>
  </si>
  <si>
    <t>2a Clonbern Road</t>
  </si>
  <si>
    <t>Pug Yeah Style Limited / Taylorson</t>
  </si>
  <si>
    <t>sales@taylorson.co.nz</t>
  </si>
  <si>
    <t>0210 817 1979</t>
  </si>
  <si>
    <t>2/62 Bruce McLaren Road</t>
  </si>
  <si>
    <t>Reynard Health Supplies Limited</t>
  </si>
  <si>
    <t>vickie@wipes.co.nz</t>
  </si>
  <si>
    <t>Sales Smart Limited</t>
  </si>
  <si>
    <t>Becky@bekybeky.co.nz</t>
  </si>
  <si>
    <t>021 1228332</t>
  </si>
  <si>
    <t>16/28 Torrens Road</t>
  </si>
  <si>
    <t>The Baby Factory NZ Limited</t>
  </si>
  <si>
    <t>accounts@babyfactory.co.nz</t>
  </si>
  <si>
    <t>09 274 4986</t>
  </si>
  <si>
    <t>58 Stonedon Drive</t>
  </si>
  <si>
    <t>The Kids Dept (Childs Play Limited)</t>
  </si>
  <si>
    <t>diane@childspay.co.nz</t>
  </si>
  <si>
    <t>2/10 Cryers Road</t>
  </si>
  <si>
    <t>The Nile NZ Limited</t>
  </si>
  <si>
    <t>accounts@nilegroup.com.au</t>
  </si>
  <si>
    <t>38B Highbrook Drive</t>
  </si>
  <si>
    <t>The Sleep Store (NZ)</t>
  </si>
  <si>
    <t>accounts@thesleepstore.co.nz</t>
  </si>
  <si>
    <t>0011 64 9 816 8706</t>
  </si>
  <si>
    <t>85c Henderson Valley Rd</t>
  </si>
  <si>
    <t>The Toy Box</t>
  </si>
  <si>
    <t>andrea@thetoybox.co.nz</t>
  </si>
  <si>
    <t>8 King Street</t>
  </si>
  <si>
    <t>Toy World Mount Wellington</t>
  </si>
  <si>
    <t>ying.liu@toyworld.co.nz</t>
  </si>
  <si>
    <t>86 Lunn Avenue</t>
  </si>
  <si>
    <t>Unicare NZ Limited / Babies NZ</t>
  </si>
  <si>
    <t>marwan@babies.co.nz</t>
  </si>
  <si>
    <t>62 Kerwyn Avenue</t>
  </si>
  <si>
    <t>Bubs and Cubs</t>
  </si>
  <si>
    <t>bubsandcubsnz@outlook.com</t>
  </si>
  <si>
    <t>Cuddle Me Baby (Sleepytot)</t>
  </si>
  <si>
    <t>info@sleepytot.co.nz</t>
  </si>
  <si>
    <t>Little and Loved Limited</t>
  </si>
  <si>
    <t>becky@littleandloved.co.nz</t>
  </si>
  <si>
    <t>Little Gatherer</t>
  </si>
  <si>
    <t>hello@littlegatherer.com</t>
  </si>
  <si>
    <t>Magic Bean - Mini Tini Limited</t>
  </si>
  <si>
    <t>aimee@magicbean.co.nz</t>
  </si>
  <si>
    <t>Onion and Co Limited</t>
  </si>
  <si>
    <t>account@ocare.co.nz</t>
  </si>
  <si>
    <t>Pharmville Nz Limited</t>
  </si>
  <si>
    <t>pharmvillepharmacy15@gmail.com</t>
  </si>
  <si>
    <t>Vita Source Limited - Twinkles</t>
  </si>
  <si>
    <t>info@vitasource.co.nz</t>
  </si>
  <si>
    <t>Whisper &amp; Wild</t>
  </si>
  <si>
    <t>hello@whisperandwild.co.nz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</si>
</sst>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/mm/yyyy"/>
    <numFmt numFmtId="166" formatCode="d/m/yy hh:mm"/>
    <numFmt numFmtId="167" formatCode="dd/mm/yy hh:mm"/>
  </numFmts>
  <fonts count="11">
    <font>
      <sz val="12.0"/>
      <color theme="1"/>
      <name val="Calibri"/>
      <scheme val="minor"/>
    </font>
    <font>
      <color theme="1"/>
      <name val="Calibri"/>
      <scheme val="minor"/>
    </font>
    <font>
      <u/>
      <sz val="12.0"/>
      <color theme="10"/>
      <name val="Calibri"/>
    </font>
    <font>
      <color theme="1"/>
      <name val="Arial"/>
    </font>
    <font>
      <u/>
      <sz val="8.0"/>
      <color rgb="FF0000FF"/>
      <name val="Arial"/>
    </font>
    <font>
      <color rgb="FF303030"/>
      <name val="Inter"/>
    </font>
    <font>
      <sz val="11.0"/>
      <color rgb="FF000000"/>
      <name val="&quot;Aptos Narrow&quot;"/>
    </font>
    <font>
      <u/>
      <sz val="11.0"/>
      <color rgb="FF0000FF"/>
      <name val="&quot;Aptos Narrow&quot;"/>
    </font>
    <font>
      <sz val="11.0"/>
      <color theme="1"/>
      <name val="&quot;Aptos Narrow&quot;"/>
    </font>
    <font>
      <sz val="8.0"/>
      <color theme="1"/>
      <name val="Arial"/>
    </font>
    <font>
      <sz val="12.0"/>
      <color rgb="FF000000"/>
      <name val="&quot;Aptos Narrow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horizontal="center" readingOrder="0" vertical="bottom"/>
    </xf>
    <xf borderId="0" fillId="0" fontId="3" numFmtId="165" xfId="0" applyAlignment="1" applyFont="1" applyNumberFormat="1">
      <alignment horizontal="center" readingOrder="0" vertical="bottom"/>
    </xf>
    <xf quotePrefix="1" borderId="0" fillId="0" fontId="3" numFmtId="0" xfId="0" applyAlignment="1" applyFont="1">
      <alignment horizontal="left" readingOrder="0" vertical="bottom"/>
    </xf>
    <xf borderId="0" fillId="0" fontId="4" numFmtId="0" xfId="0" applyAlignment="1" applyFont="1">
      <alignment horizontal="center" readingOrder="0" shrinkToFit="0" vertical="bottom" wrapText="0"/>
    </xf>
    <xf borderId="0" fillId="2" fontId="5" numFmtId="0" xfId="0" applyAlignment="1" applyFill="1" applyFont="1">
      <alignment readingOrder="0"/>
    </xf>
    <xf borderId="0" fillId="2" fontId="5" numFmtId="0" xfId="0" applyAlignment="1" applyFont="1">
      <alignment horizontal="left" readingOrder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164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9" numFmtId="166" xfId="0" applyAlignment="1" applyFont="1" applyNumberFormat="1">
      <alignment horizontal="right" readingOrder="0" shrinkToFit="0" vertical="bottom" wrapText="0"/>
    </xf>
    <xf borderId="0" fillId="0" fontId="9" numFmtId="167" xfId="0" applyAlignment="1" applyFont="1" applyNumberFormat="1">
      <alignment horizontal="right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3" fontId="10" numFmtId="0" xfId="0" applyAlignment="1" applyFill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serenity.kids@outlook.cim" TargetMode="External"/><Relationship Id="rId20" Type="http://schemas.openxmlformats.org/officeDocument/2006/relationships/hyperlink" Target="mailto:hello@babyfoodbible.com" TargetMode="External"/><Relationship Id="rId42" Type="http://schemas.openxmlformats.org/officeDocument/2006/relationships/hyperlink" Target="mailto:enquiries@adoreu.com.au" TargetMode="External"/><Relationship Id="rId41" Type="http://schemas.openxmlformats.org/officeDocument/2006/relationships/hyperlink" Target="mailto:serenity.kids@outlook.cim" TargetMode="External"/><Relationship Id="rId22" Type="http://schemas.openxmlformats.org/officeDocument/2006/relationships/hyperlink" Target="mailto:steph@babytrain.com.au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mailto:hello@babyfoodbible.com" TargetMode="External"/><Relationship Id="rId43" Type="http://schemas.openxmlformats.org/officeDocument/2006/relationships/hyperlink" Target="mailto:enquiries@adoreu.com.au" TargetMode="External"/><Relationship Id="rId24" Type="http://schemas.openxmlformats.org/officeDocument/2006/relationships/hyperlink" Target="mailto:andrew@bagstogo.com.au" TargetMode="External"/><Relationship Id="rId23" Type="http://schemas.openxmlformats.org/officeDocument/2006/relationships/hyperlink" Target="mailto:steph@babytrain.com.au" TargetMode="External"/><Relationship Id="rId1" Type="http://schemas.openxmlformats.org/officeDocument/2006/relationships/hyperlink" Target="mailto:melissa.dockery@davidjones.com.au" TargetMode="External"/><Relationship Id="rId2" Type="http://schemas.openxmlformats.org/officeDocument/2006/relationships/hyperlink" Target="mailto:billie.spence@davidjones.com.au" TargetMode="External"/><Relationship Id="rId3" Type="http://schemas.openxmlformats.org/officeDocument/2006/relationships/hyperlink" Target="mailto:ore.blutman@davidjones.com.au" TargetMode="External"/><Relationship Id="rId4" Type="http://schemas.openxmlformats.org/officeDocument/2006/relationships/hyperlink" Target="mailto:marsha@babyvillage.com.au" TargetMode="External"/><Relationship Id="rId9" Type="http://schemas.openxmlformats.org/officeDocument/2006/relationships/hyperlink" Target="mailto:greg@babykingdom.com.au" TargetMode="External"/><Relationship Id="rId26" Type="http://schemas.openxmlformats.org/officeDocument/2006/relationships/hyperlink" Target="mailto:canterburykidsonline@gmail.com" TargetMode="External"/><Relationship Id="rId25" Type="http://schemas.openxmlformats.org/officeDocument/2006/relationships/hyperlink" Target="mailto:andrew@bagstogo.com.au" TargetMode="External"/><Relationship Id="rId28" Type="http://schemas.openxmlformats.org/officeDocument/2006/relationships/hyperlink" Target="mailto:kazlee@outlook.com.au" TargetMode="External"/><Relationship Id="rId27" Type="http://schemas.openxmlformats.org/officeDocument/2006/relationships/hyperlink" Target="mailto:canterburykidsonline@gmail.com" TargetMode="External"/><Relationship Id="rId5" Type="http://schemas.openxmlformats.org/officeDocument/2006/relationships/hyperlink" Target="mailto:laura@babyvillage.com.au" TargetMode="External"/><Relationship Id="rId6" Type="http://schemas.openxmlformats.org/officeDocument/2006/relationships/hyperlink" Target="mailto:francesca@babyvillage.com.au" TargetMode="External"/><Relationship Id="rId29" Type="http://schemas.openxmlformats.org/officeDocument/2006/relationships/hyperlink" Target="mailto:kazlee@outlook.com.au" TargetMode="External"/><Relationship Id="rId7" Type="http://schemas.openxmlformats.org/officeDocument/2006/relationships/hyperlink" Target="mailto:smcil@amazon.com" TargetMode="External"/><Relationship Id="rId8" Type="http://schemas.openxmlformats.org/officeDocument/2006/relationships/hyperlink" Target="mailto:chloe_brooksdowsett@tjxaustralia.com.au" TargetMode="External"/><Relationship Id="rId31" Type="http://schemas.openxmlformats.org/officeDocument/2006/relationships/hyperlink" Target="mailto:enchantedyears@gmail.com" TargetMode="External"/><Relationship Id="rId30" Type="http://schemas.openxmlformats.org/officeDocument/2006/relationships/hyperlink" Target="mailto:enchantedyears@gmail.com" TargetMode="External"/><Relationship Id="rId11" Type="http://schemas.openxmlformats.org/officeDocument/2006/relationships/hyperlink" Target="mailto:george@babykingdom.com.au" TargetMode="External"/><Relationship Id="rId33" Type="http://schemas.openxmlformats.org/officeDocument/2006/relationships/hyperlink" Target="mailto:admin@travellershop.com.au" TargetMode="External"/><Relationship Id="rId10" Type="http://schemas.openxmlformats.org/officeDocument/2006/relationships/hyperlink" Target="mailto:chris@babykingdom.com.au" TargetMode="External"/><Relationship Id="rId32" Type="http://schemas.openxmlformats.org/officeDocument/2006/relationships/hyperlink" Target="mailto:admin@travellershop.com.au" TargetMode="External"/><Relationship Id="rId13" Type="http://schemas.openxmlformats.org/officeDocument/2006/relationships/hyperlink" Target="mailto:angelo@babykingdom.com.au" TargetMode="External"/><Relationship Id="rId35" Type="http://schemas.openxmlformats.org/officeDocument/2006/relationships/hyperlink" Target="mailto:toys@kinderplay.com.au" TargetMode="External"/><Relationship Id="rId12" Type="http://schemas.openxmlformats.org/officeDocument/2006/relationships/hyperlink" Target="mailto:steve@babykingdom.com.au" TargetMode="External"/><Relationship Id="rId34" Type="http://schemas.openxmlformats.org/officeDocument/2006/relationships/hyperlink" Target="mailto:toys@kinderplay.com.au" TargetMode="External"/><Relationship Id="rId15" Type="http://schemas.openxmlformats.org/officeDocument/2006/relationships/hyperlink" Target="mailto:web@babykingdom.com.au" TargetMode="External"/><Relationship Id="rId37" Type="http://schemas.openxmlformats.org/officeDocument/2006/relationships/hyperlink" Target="mailto:info@littletreehuselane.com.au" TargetMode="External"/><Relationship Id="rId14" Type="http://schemas.openxmlformats.org/officeDocument/2006/relationships/hyperlink" Target="mailto:daniella@babykingdom.com.au" TargetMode="External"/><Relationship Id="rId36" Type="http://schemas.openxmlformats.org/officeDocument/2006/relationships/hyperlink" Target="mailto:info@littletreehuselane.com.au" TargetMode="External"/><Relationship Id="rId17" Type="http://schemas.openxmlformats.org/officeDocument/2006/relationships/hyperlink" Target="mailto:linneth@cnpbrands.com.au" TargetMode="External"/><Relationship Id="rId39" Type="http://schemas.openxmlformats.org/officeDocument/2006/relationships/hyperlink" Target="mailto:mothergoosebabyshop@gmail.com" TargetMode="External"/><Relationship Id="rId16" Type="http://schemas.openxmlformats.org/officeDocument/2006/relationships/hyperlink" Target="mailto:michelle@chaletessentials.com.au" TargetMode="External"/><Relationship Id="rId38" Type="http://schemas.openxmlformats.org/officeDocument/2006/relationships/hyperlink" Target="mailto:mothergoosebabyshop@gmail.com" TargetMode="External"/><Relationship Id="rId19" Type="http://schemas.openxmlformats.org/officeDocument/2006/relationships/hyperlink" Target="mailto:enquiries@adoreu.com.au" TargetMode="External"/><Relationship Id="rId18" Type="http://schemas.openxmlformats.org/officeDocument/2006/relationships/hyperlink" Target="mailto:enquiries@adoreu.com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78"/>
    <col customWidth="1" min="2" max="2" width="36.67"/>
    <col customWidth="1" hidden="1" min="3" max="3" width="18.78"/>
    <col customWidth="1" hidden="1" min="4" max="4" width="30.78"/>
    <col customWidth="1" hidden="1" min="5" max="5" width="15.78"/>
    <col customWidth="1" min="6" max="6" width="35.78"/>
    <col customWidth="1" min="7" max="7" width="18.78"/>
    <col customWidth="1" min="8" max="8" width="15.78"/>
    <col customWidth="1" min="9" max="9" width="18.78"/>
    <col customWidth="1" min="10" max="10" width="20.78"/>
    <col customWidth="1" min="11" max="11" width="18.78"/>
    <col customWidth="1" min="12" max="12" width="20.78"/>
    <col customWidth="1" min="13" max="13" width="18.78"/>
    <col customWidth="1" min="14" max="14" width="12.78"/>
    <col customWidth="1" min="15" max="16" width="20.78"/>
    <col customWidth="1" min="17" max="17" width="18.78"/>
    <col customWidth="1" min="18" max="18" width="25.78"/>
    <col customWidth="1" min="19" max="19" width="40.78"/>
    <col customWidth="1" min="20" max="20" width="30.78"/>
    <col customWidth="1" min="21" max="21" width="20.33"/>
    <col customWidth="1" min="22" max="26" width="10.56"/>
  </cols>
  <sheetData>
    <row r="1" ht="15.7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ht="15.75" customHeight="1">
      <c r="A2" s="1" t="s">
        <v>21</v>
      </c>
      <c r="B2" s="2" t="s">
        <v>22</v>
      </c>
      <c r="C2" s="1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40</v>
      </c>
    </row>
    <row r="3" ht="15.75" customHeight="1">
      <c r="A3" s="1" t="s">
        <v>41</v>
      </c>
      <c r="B3" s="3" t="s">
        <v>42</v>
      </c>
      <c r="C3" s="1"/>
      <c r="E3" s="2" t="s">
        <v>43</v>
      </c>
      <c r="F3" s="2" t="s">
        <v>44</v>
      </c>
      <c r="G3" s="2" t="s">
        <v>45</v>
      </c>
      <c r="H3" s="2" t="s">
        <v>45</v>
      </c>
      <c r="N3" s="2" t="s">
        <v>33</v>
      </c>
      <c r="O3" s="2" t="s">
        <v>46</v>
      </c>
      <c r="P3" s="2" t="s">
        <v>47</v>
      </c>
      <c r="T3" s="2" t="s">
        <v>48</v>
      </c>
      <c r="U3" s="2" t="s">
        <v>40</v>
      </c>
    </row>
    <row r="4" ht="15.75" customHeight="1">
      <c r="A4" s="1" t="s">
        <v>41</v>
      </c>
      <c r="B4" s="3" t="s">
        <v>49</v>
      </c>
      <c r="C4" s="1"/>
      <c r="E4" s="2" t="s">
        <v>43</v>
      </c>
      <c r="F4" s="2" t="s">
        <v>44</v>
      </c>
      <c r="G4" s="2" t="s">
        <v>45</v>
      </c>
      <c r="H4" s="2" t="s">
        <v>45</v>
      </c>
      <c r="N4" s="2" t="s">
        <v>33</v>
      </c>
      <c r="O4" s="2" t="s">
        <v>50</v>
      </c>
      <c r="P4" s="2" t="s">
        <v>51</v>
      </c>
      <c r="T4" s="2" t="s">
        <v>48</v>
      </c>
      <c r="U4" s="2" t="s">
        <v>40</v>
      </c>
    </row>
    <row r="5" ht="15.75" customHeight="1">
      <c r="A5" s="1" t="s">
        <v>41</v>
      </c>
      <c r="B5" s="3" t="s">
        <v>52</v>
      </c>
      <c r="C5" s="1"/>
      <c r="E5" s="2" t="s">
        <v>43</v>
      </c>
      <c r="F5" s="2" t="s">
        <v>44</v>
      </c>
      <c r="G5" s="2" t="s">
        <v>45</v>
      </c>
      <c r="H5" s="2" t="s">
        <v>45</v>
      </c>
      <c r="N5" s="2" t="s">
        <v>33</v>
      </c>
      <c r="O5" s="2" t="s">
        <v>53</v>
      </c>
      <c r="P5" s="2" t="s">
        <v>54</v>
      </c>
      <c r="T5" s="2" t="s">
        <v>48</v>
      </c>
      <c r="U5" s="2" t="s">
        <v>40</v>
      </c>
    </row>
    <row r="6" ht="15.75" customHeight="1">
      <c r="A6" s="1" t="s">
        <v>55</v>
      </c>
      <c r="B6" s="3" t="s">
        <v>56</v>
      </c>
      <c r="C6" s="1"/>
      <c r="E6" s="2" t="s">
        <v>43</v>
      </c>
      <c r="F6" s="2" t="s">
        <v>26</v>
      </c>
      <c r="G6" s="2" t="s">
        <v>45</v>
      </c>
      <c r="H6" s="2" t="s">
        <v>45</v>
      </c>
      <c r="N6" s="2" t="s">
        <v>33</v>
      </c>
      <c r="O6" s="2" t="s">
        <v>57</v>
      </c>
      <c r="P6" s="2" t="s">
        <v>47</v>
      </c>
      <c r="T6" s="2" t="s">
        <v>58</v>
      </c>
      <c r="U6" s="2" t="s">
        <v>59</v>
      </c>
    </row>
    <row r="7" ht="15.75" customHeight="1">
      <c r="A7" s="1" t="s">
        <v>55</v>
      </c>
      <c r="B7" s="3" t="s">
        <v>60</v>
      </c>
      <c r="C7" s="1"/>
      <c r="E7" s="2" t="s">
        <v>43</v>
      </c>
      <c r="F7" s="2" t="s">
        <v>26</v>
      </c>
      <c r="G7" s="2" t="s">
        <v>45</v>
      </c>
      <c r="H7" s="2" t="s">
        <v>45</v>
      </c>
      <c r="N7" s="2" t="s">
        <v>33</v>
      </c>
      <c r="O7" s="2" t="s">
        <v>61</v>
      </c>
      <c r="P7" s="2" t="s">
        <v>54</v>
      </c>
      <c r="T7" s="2" t="s">
        <v>58</v>
      </c>
      <c r="U7" s="2" t="s">
        <v>59</v>
      </c>
    </row>
    <row r="8" ht="15.75" customHeight="1">
      <c r="A8" s="1" t="s">
        <v>55</v>
      </c>
      <c r="B8" s="3" t="s">
        <v>62</v>
      </c>
      <c r="C8" s="1"/>
      <c r="E8" s="2" t="s">
        <v>43</v>
      </c>
      <c r="F8" s="2" t="s">
        <v>26</v>
      </c>
      <c r="G8" s="2" t="s">
        <v>45</v>
      </c>
      <c r="H8" s="2" t="s">
        <v>45</v>
      </c>
      <c r="N8" s="2" t="s">
        <v>33</v>
      </c>
      <c r="O8" s="2" t="s">
        <v>63</v>
      </c>
      <c r="P8" s="2" t="s">
        <v>64</v>
      </c>
      <c r="T8" s="2" t="s">
        <v>58</v>
      </c>
      <c r="U8" s="2" t="s">
        <v>59</v>
      </c>
    </row>
    <row r="9" ht="15.75" customHeight="1">
      <c r="A9" s="1" t="s">
        <v>65</v>
      </c>
      <c r="B9" s="3" t="s">
        <v>66</v>
      </c>
      <c r="C9" s="1"/>
      <c r="E9" s="2" t="s">
        <v>43</v>
      </c>
      <c r="F9" s="2" t="s">
        <v>67</v>
      </c>
      <c r="G9" s="2" t="s">
        <v>45</v>
      </c>
      <c r="H9" s="2" t="s">
        <v>45</v>
      </c>
      <c r="N9" s="2" t="s">
        <v>33</v>
      </c>
      <c r="O9" s="2" t="s">
        <v>68</v>
      </c>
      <c r="P9" s="2" t="s">
        <v>47</v>
      </c>
      <c r="T9" s="2" t="s">
        <v>58</v>
      </c>
      <c r="U9" s="2" t="s">
        <v>40</v>
      </c>
    </row>
    <row r="10" ht="15.75" customHeight="1">
      <c r="A10" s="1" t="s">
        <v>69</v>
      </c>
      <c r="B10" s="3" t="s">
        <v>70</v>
      </c>
      <c r="C10" s="1"/>
      <c r="E10" s="2" t="s">
        <v>43</v>
      </c>
      <c r="F10" s="2" t="s">
        <v>71</v>
      </c>
      <c r="G10" s="2" t="s">
        <v>45</v>
      </c>
      <c r="H10" s="2" t="s">
        <v>45</v>
      </c>
      <c r="N10" s="2" t="s">
        <v>33</v>
      </c>
      <c r="O10" s="2" t="s">
        <v>72</v>
      </c>
      <c r="P10" s="2" t="s">
        <v>47</v>
      </c>
      <c r="U10" s="2" t="s">
        <v>40</v>
      </c>
    </row>
    <row r="11" ht="15.75" customHeight="1">
      <c r="A11" s="1" t="s">
        <v>73</v>
      </c>
      <c r="B11" s="3" t="s">
        <v>74</v>
      </c>
      <c r="C11" s="1"/>
      <c r="E11" s="2" t="s">
        <v>43</v>
      </c>
      <c r="F11" s="2" t="s">
        <v>26</v>
      </c>
      <c r="G11" s="2" t="s">
        <v>45</v>
      </c>
      <c r="H11" s="2" t="s">
        <v>45</v>
      </c>
      <c r="N11" s="2" t="s">
        <v>33</v>
      </c>
      <c r="O11" s="2" t="s">
        <v>75</v>
      </c>
      <c r="P11" s="2" t="s">
        <v>76</v>
      </c>
      <c r="U11" s="2" t="s">
        <v>40</v>
      </c>
    </row>
    <row r="12" ht="15.75" customHeight="1">
      <c r="A12" s="1" t="s">
        <v>73</v>
      </c>
      <c r="B12" s="3" t="s">
        <v>77</v>
      </c>
      <c r="C12" s="1"/>
      <c r="E12" s="2" t="s">
        <v>43</v>
      </c>
      <c r="F12" s="2" t="s">
        <v>26</v>
      </c>
      <c r="G12" s="2" t="s">
        <v>45</v>
      </c>
      <c r="H12" s="2" t="s">
        <v>45</v>
      </c>
      <c r="N12" s="2" t="s">
        <v>33</v>
      </c>
      <c r="O12" s="2" t="s">
        <v>78</v>
      </c>
      <c r="P12" s="2" t="s">
        <v>79</v>
      </c>
      <c r="U12" s="2" t="s">
        <v>40</v>
      </c>
    </row>
    <row r="13" ht="15.75" customHeight="1">
      <c r="A13" s="1" t="s">
        <v>73</v>
      </c>
      <c r="B13" s="3" t="s">
        <v>80</v>
      </c>
      <c r="C13" s="1"/>
      <c r="E13" s="2" t="s">
        <v>43</v>
      </c>
      <c r="F13" s="2" t="s">
        <v>26</v>
      </c>
      <c r="G13" s="2" t="s">
        <v>45</v>
      </c>
      <c r="H13" s="2" t="s">
        <v>45</v>
      </c>
      <c r="N13" s="2" t="s">
        <v>33</v>
      </c>
      <c r="O13" s="2" t="s">
        <v>81</v>
      </c>
      <c r="P13" s="4" t="s">
        <v>82</v>
      </c>
      <c r="U13" s="2" t="s">
        <v>40</v>
      </c>
    </row>
    <row r="14" ht="15.75" customHeight="1">
      <c r="A14" s="1" t="s">
        <v>73</v>
      </c>
      <c r="B14" s="3" t="s">
        <v>83</v>
      </c>
      <c r="C14" s="1"/>
      <c r="E14" s="2" t="s">
        <v>43</v>
      </c>
      <c r="F14" s="2" t="s">
        <v>26</v>
      </c>
      <c r="G14" s="2" t="s">
        <v>45</v>
      </c>
      <c r="H14" s="2" t="s">
        <v>45</v>
      </c>
      <c r="N14" s="2" t="s">
        <v>33</v>
      </c>
      <c r="O14" s="2" t="s">
        <v>84</v>
      </c>
      <c r="P14" s="2" t="s">
        <v>85</v>
      </c>
      <c r="U14" s="2" t="s">
        <v>40</v>
      </c>
    </row>
    <row r="15" ht="15.75" customHeight="1">
      <c r="A15" s="1" t="s">
        <v>73</v>
      </c>
      <c r="B15" s="3" t="s">
        <v>86</v>
      </c>
      <c r="C15" s="1"/>
      <c r="E15" s="2" t="s">
        <v>43</v>
      </c>
      <c r="F15" s="2" t="s">
        <v>26</v>
      </c>
      <c r="G15" s="2" t="s">
        <v>45</v>
      </c>
      <c r="H15" s="2" t="s">
        <v>45</v>
      </c>
      <c r="N15" s="2" t="s">
        <v>33</v>
      </c>
      <c r="O15" s="2" t="s">
        <v>87</v>
      </c>
      <c r="P15" s="2" t="s">
        <v>88</v>
      </c>
      <c r="U15" s="2" t="s">
        <v>40</v>
      </c>
    </row>
    <row r="16" ht="15.75" customHeight="1">
      <c r="A16" s="1" t="s">
        <v>73</v>
      </c>
      <c r="B16" s="3" t="s">
        <v>89</v>
      </c>
      <c r="C16" s="1"/>
      <c r="E16" s="2" t="s">
        <v>43</v>
      </c>
      <c r="F16" s="2" t="s">
        <v>26</v>
      </c>
      <c r="G16" s="2" t="s">
        <v>45</v>
      </c>
      <c r="H16" s="2" t="s">
        <v>45</v>
      </c>
      <c r="N16" s="2" t="s">
        <v>33</v>
      </c>
      <c r="O16" s="2" t="s">
        <v>90</v>
      </c>
      <c r="P16" s="2" t="s">
        <v>91</v>
      </c>
      <c r="U16" s="2" t="s">
        <v>40</v>
      </c>
    </row>
    <row r="17" ht="15.75" customHeight="1">
      <c r="A17" s="1" t="s">
        <v>73</v>
      </c>
      <c r="B17" s="3" t="s">
        <v>92</v>
      </c>
      <c r="C17" s="1"/>
      <c r="E17" s="2" t="s">
        <v>43</v>
      </c>
      <c r="F17" s="2" t="s">
        <v>26</v>
      </c>
      <c r="G17" s="2" t="s">
        <v>45</v>
      </c>
      <c r="H17" s="2" t="s">
        <v>45</v>
      </c>
      <c r="N17" s="2" t="s">
        <v>33</v>
      </c>
      <c r="O17" s="2" t="s">
        <v>93</v>
      </c>
      <c r="P17" s="2" t="s">
        <v>94</v>
      </c>
      <c r="U17" s="2" t="s">
        <v>40</v>
      </c>
    </row>
    <row r="18" ht="15.75" customHeight="1">
      <c r="A18" s="5" t="s">
        <v>95</v>
      </c>
      <c r="B18" s="6" t="s">
        <v>96</v>
      </c>
      <c r="C18" s="5" t="s">
        <v>97</v>
      </c>
      <c r="D18" s="6" t="s">
        <v>98</v>
      </c>
      <c r="E18" s="6" t="s">
        <v>43</v>
      </c>
      <c r="F18" s="6" t="s">
        <v>99</v>
      </c>
      <c r="G18" s="7" t="s">
        <v>100</v>
      </c>
      <c r="H18" s="7" t="s">
        <v>100</v>
      </c>
      <c r="I18" s="8"/>
      <c r="J18" s="8"/>
      <c r="K18" s="8"/>
      <c r="L18" s="9">
        <v>45931.0</v>
      </c>
      <c r="M18" s="9">
        <v>45953.0</v>
      </c>
      <c r="N18" s="7" t="s">
        <v>33</v>
      </c>
      <c r="O18" s="7" t="s">
        <v>101</v>
      </c>
      <c r="P18" s="7" t="s">
        <v>102</v>
      </c>
      <c r="Q18" s="8" t="str">
        <f>+61 457 588 297</f>
        <v>#ERROR!</v>
      </c>
      <c r="R18" s="6" t="s">
        <v>96</v>
      </c>
      <c r="S18" s="7" t="s">
        <v>103</v>
      </c>
      <c r="T18" s="7" t="s">
        <v>104</v>
      </c>
      <c r="U18" s="7" t="s">
        <v>105</v>
      </c>
    </row>
    <row r="19" ht="15.75" customHeight="1">
      <c r="A19" s="5" t="s">
        <v>106</v>
      </c>
      <c r="B19" s="6" t="s">
        <v>107</v>
      </c>
      <c r="C19" s="5" t="s">
        <v>108</v>
      </c>
      <c r="D19" s="6" t="s">
        <v>109</v>
      </c>
      <c r="E19" s="6" t="s">
        <v>43</v>
      </c>
      <c r="F19" s="6" t="s">
        <v>99</v>
      </c>
      <c r="G19" s="7" t="s">
        <v>100</v>
      </c>
      <c r="H19" s="7" t="s">
        <v>100</v>
      </c>
      <c r="I19" s="10">
        <v>45825.0</v>
      </c>
      <c r="J19" s="8"/>
      <c r="K19" s="8"/>
      <c r="L19" s="10">
        <v>45825.0</v>
      </c>
      <c r="M19" s="9">
        <v>45953.0</v>
      </c>
      <c r="N19" s="7" t="s">
        <v>33</v>
      </c>
      <c r="O19" s="7" t="s">
        <v>110</v>
      </c>
      <c r="P19" s="7" t="s">
        <v>102</v>
      </c>
      <c r="Q19" s="8" t="str">
        <f>+61 437 412 676</f>
        <v>#ERROR!</v>
      </c>
      <c r="R19" s="6" t="s">
        <v>107</v>
      </c>
      <c r="S19" s="8"/>
      <c r="T19" s="7" t="s">
        <v>111</v>
      </c>
      <c r="U19" s="7" t="s">
        <v>105</v>
      </c>
    </row>
    <row r="20" ht="15.75" customHeight="1">
      <c r="A20" s="5" t="s">
        <v>112</v>
      </c>
      <c r="B20" s="6" t="s">
        <v>113</v>
      </c>
      <c r="C20" s="5" t="s">
        <v>114</v>
      </c>
      <c r="D20" s="6" t="s">
        <v>115</v>
      </c>
      <c r="E20" s="6" t="s">
        <v>43</v>
      </c>
      <c r="F20" s="6" t="s">
        <v>99</v>
      </c>
      <c r="G20" s="7" t="s">
        <v>100</v>
      </c>
      <c r="H20" s="7" t="s">
        <v>100</v>
      </c>
      <c r="I20" s="10">
        <v>45315.0</v>
      </c>
      <c r="J20" s="8"/>
      <c r="K20" s="8"/>
      <c r="L20" s="10">
        <v>45315.0</v>
      </c>
      <c r="M20" s="9">
        <v>45953.0</v>
      </c>
      <c r="N20" s="7" t="s">
        <v>33</v>
      </c>
      <c r="O20" s="7" t="s">
        <v>116</v>
      </c>
      <c r="P20" s="7" t="s">
        <v>102</v>
      </c>
      <c r="Q20" s="8" t="str">
        <f>+61 8 9768 0625</f>
        <v>#ERROR!</v>
      </c>
      <c r="R20" s="6" t="s">
        <v>113</v>
      </c>
      <c r="S20" s="8"/>
      <c r="T20" s="7" t="s">
        <v>111</v>
      </c>
      <c r="U20" s="7" t="s">
        <v>105</v>
      </c>
    </row>
    <row r="21" ht="15.75" customHeight="1">
      <c r="A21" s="5" t="s">
        <v>117</v>
      </c>
      <c r="B21" s="6" t="s">
        <v>118</v>
      </c>
      <c r="C21" s="5" t="s">
        <v>119</v>
      </c>
      <c r="D21" s="6" t="s">
        <v>120</v>
      </c>
      <c r="E21" s="6" t="s">
        <v>43</v>
      </c>
      <c r="F21" s="6" t="s">
        <v>99</v>
      </c>
      <c r="G21" s="7" t="s">
        <v>100</v>
      </c>
      <c r="H21" s="7" t="s">
        <v>100</v>
      </c>
      <c r="I21" s="10">
        <v>45818.0</v>
      </c>
      <c r="J21" s="8"/>
      <c r="K21" s="8"/>
      <c r="L21" s="10">
        <v>45818.0</v>
      </c>
      <c r="M21" s="9">
        <v>45953.0</v>
      </c>
      <c r="N21" s="7" t="s">
        <v>33</v>
      </c>
      <c r="O21" s="7" t="s">
        <v>121</v>
      </c>
      <c r="P21" s="7" t="s">
        <v>102</v>
      </c>
      <c r="Q21" s="8" t="str">
        <f>+61 407 441 684</f>
        <v>#ERROR!</v>
      </c>
      <c r="R21" s="6" t="s">
        <v>118</v>
      </c>
      <c r="S21" s="8"/>
      <c r="T21" s="7" t="s">
        <v>122</v>
      </c>
      <c r="U21" s="7" t="s">
        <v>105</v>
      </c>
    </row>
    <row r="22" ht="15.75" customHeight="1">
      <c r="A22" s="5" t="s">
        <v>123</v>
      </c>
      <c r="B22" s="6" t="s">
        <v>124</v>
      </c>
      <c r="C22" s="5">
        <v>4.97004143E8</v>
      </c>
      <c r="D22" s="6" t="s">
        <v>125</v>
      </c>
      <c r="E22" s="6" t="s">
        <v>43</v>
      </c>
      <c r="F22" s="6" t="s">
        <v>126</v>
      </c>
      <c r="G22" s="7" t="s">
        <v>100</v>
      </c>
      <c r="H22" s="7" t="s">
        <v>100</v>
      </c>
      <c r="I22" s="10">
        <v>44658.0</v>
      </c>
      <c r="J22" s="8"/>
      <c r="K22" s="8"/>
      <c r="L22" s="10">
        <v>44658.0</v>
      </c>
      <c r="M22" s="9">
        <v>45953.0</v>
      </c>
      <c r="N22" s="7" t="s">
        <v>33</v>
      </c>
      <c r="O22" s="7" t="s">
        <v>127</v>
      </c>
      <c r="P22" s="7" t="s">
        <v>128</v>
      </c>
      <c r="Q22" s="7">
        <v>4.97004143E8</v>
      </c>
      <c r="R22" s="6" t="s">
        <v>124</v>
      </c>
      <c r="S22" s="8"/>
      <c r="T22" s="7" t="s">
        <v>111</v>
      </c>
      <c r="U22" s="7" t="s">
        <v>105</v>
      </c>
    </row>
    <row r="23" ht="15.75" customHeight="1">
      <c r="A23" s="5" t="s">
        <v>129</v>
      </c>
      <c r="B23" s="6" t="s">
        <v>130</v>
      </c>
      <c r="C23" s="5" t="s">
        <v>131</v>
      </c>
      <c r="D23" s="6" t="s">
        <v>132</v>
      </c>
      <c r="E23" s="6" t="s">
        <v>43</v>
      </c>
      <c r="F23" s="6" t="s">
        <v>99</v>
      </c>
      <c r="G23" s="7" t="s">
        <v>100</v>
      </c>
      <c r="H23" s="7" t="s">
        <v>100</v>
      </c>
      <c r="I23" s="10">
        <v>41768.0</v>
      </c>
      <c r="J23" s="8"/>
      <c r="K23" s="8"/>
      <c r="L23" s="10">
        <v>41768.0</v>
      </c>
      <c r="M23" s="9">
        <v>45953.0</v>
      </c>
      <c r="N23" s="7" t="s">
        <v>33</v>
      </c>
      <c r="O23" s="7" t="s">
        <v>133</v>
      </c>
      <c r="P23" s="7" t="s">
        <v>102</v>
      </c>
      <c r="Q23" s="7" t="s">
        <v>131</v>
      </c>
      <c r="R23" s="6" t="s">
        <v>130</v>
      </c>
      <c r="S23" s="8"/>
      <c r="T23" s="7" t="s">
        <v>111</v>
      </c>
      <c r="U23" s="7" t="s">
        <v>105</v>
      </c>
    </row>
    <row r="24" ht="15.75" customHeight="1">
      <c r="A24" s="5" t="s">
        <v>134</v>
      </c>
      <c r="B24" s="6" t="s">
        <v>135</v>
      </c>
      <c r="C24" s="5" t="s">
        <v>136</v>
      </c>
      <c r="D24" s="6" t="s">
        <v>137</v>
      </c>
      <c r="E24" s="6" t="s">
        <v>43</v>
      </c>
      <c r="F24" s="6" t="s">
        <v>99</v>
      </c>
      <c r="G24" s="7" t="s">
        <v>100</v>
      </c>
      <c r="H24" s="7" t="s">
        <v>100</v>
      </c>
      <c r="I24" s="10">
        <v>43538.0</v>
      </c>
      <c r="J24" s="8"/>
      <c r="K24" s="8"/>
      <c r="L24" s="10">
        <v>43538.0</v>
      </c>
      <c r="M24" s="9">
        <v>45953.0</v>
      </c>
      <c r="N24" s="7" t="s">
        <v>33</v>
      </c>
      <c r="O24" s="7" t="s">
        <v>138</v>
      </c>
      <c r="P24" s="7" t="s">
        <v>102</v>
      </c>
      <c r="Q24" s="7" t="s">
        <v>136</v>
      </c>
      <c r="R24" s="6" t="s">
        <v>135</v>
      </c>
      <c r="S24" s="8"/>
      <c r="T24" s="7" t="s">
        <v>111</v>
      </c>
      <c r="U24" s="7" t="s">
        <v>105</v>
      </c>
    </row>
    <row r="25" ht="15.75" customHeight="1">
      <c r="A25" s="5" t="s">
        <v>139</v>
      </c>
      <c r="B25" s="6" t="s">
        <v>140</v>
      </c>
      <c r="C25" s="5" t="s">
        <v>141</v>
      </c>
      <c r="D25" s="6" t="s">
        <v>142</v>
      </c>
      <c r="E25" s="6" t="s">
        <v>43</v>
      </c>
      <c r="F25" s="6" t="s">
        <v>99</v>
      </c>
      <c r="G25" s="7" t="s">
        <v>100</v>
      </c>
      <c r="H25" s="7" t="s">
        <v>100</v>
      </c>
      <c r="I25" s="10">
        <v>41751.0</v>
      </c>
      <c r="J25" s="8"/>
      <c r="K25" s="8"/>
      <c r="L25" s="10">
        <v>41751.0</v>
      </c>
      <c r="M25" s="9">
        <v>45964.0</v>
      </c>
      <c r="N25" s="7" t="s">
        <v>33</v>
      </c>
      <c r="O25" s="7" t="s">
        <v>143</v>
      </c>
      <c r="P25" s="7" t="s">
        <v>102</v>
      </c>
      <c r="Q25" s="7" t="s">
        <v>141</v>
      </c>
      <c r="R25" s="6" t="s">
        <v>140</v>
      </c>
      <c r="S25" s="8"/>
      <c r="T25" s="7" t="s">
        <v>144</v>
      </c>
      <c r="U25" s="7" t="s">
        <v>105</v>
      </c>
    </row>
    <row r="26" ht="15.75" customHeight="1">
      <c r="A26" s="5" t="s">
        <v>145</v>
      </c>
      <c r="B26" s="6" t="s">
        <v>146</v>
      </c>
      <c r="C26" s="5" t="s">
        <v>147</v>
      </c>
      <c r="D26" s="6" t="s">
        <v>148</v>
      </c>
      <c r="E26" s="6" t="s">
        <v>43</v>
      </c>
      <c r="F26" s="6" t="s">
        <v>99</v>
      </c>
      <c r="G26" s="7" t="s">
        <v>100</v>
      </c>
      <c r="H26" s="7" t="s">
        <v>100</v>
      </c>
      <c r="I26" s="10">
        <v>42774.0</v>
      </c>
      <c r="J26" s="8"/>
      <c r="K26" s="8"/>
      <c r="L26" s="10">
        <v>42774.0</v>
      </c>
      <c r="M26" s="9">
        <v>45953.0</v>
      </c>
      <c r="N26" s="7" t="s">
        <v>33</v>
      </c>
      <c r="O26" s="7" t="s">
        <v>149</v>
      </c>
      <c r="P26" s="7" t="s">
        <v>102</v>
      </c>
      <c r="Q26" s="7" t="s">
        <v>147</v>
      </c>
      <c r="R26" s="6" t="s">
        <v>146</v>
      </c>
      <c r="S26" s="8"/>
      <c r="T26" s="7" t="s">
        <v>150</v>
      </c>
      <c r="U26" s="7" t="s">
        <v>105</v>
      </c>
    </row>
    <row r="27" ht="15.75" customHeight="1">
      <c r="A27" s="5" t="s">
        <v>151</v>
      </c>
      <c r="B27" s="6" t="s">
        <v>152</v>
      </c>
      <c r="C27" s="11" t="s">
        <v>153</v>
      </c>
      <c r="D27" s="6" t="s">
        <v>154</v>
      </c>
      <c r="E27" s="6" t="s">
        <v>43</v>
      </c>
      <c r="F27" s="6" t="s">
        <v>99</v>
      </c>
      <c r="G27" s="7" t="s">
        <v>100</v>
      </c>
      <c r="H27" s="7" t="s">
        <v>100</v>
      </c>
      <c r="I27" s="10">
        <v>45877.0</v>
      </c>
      <c r="J27" s="8"/>
      <c r="K27" s="8"/>
      <c r="L27" s="10">
        <v>45877.0</v>
      </c>
      <c r="M27" s="9">
        <v>45953.0</v>
      </c>
      <c r="N27" s="7" t="s">
        <v>33</v>
      </c>
      <c r="O27" s="7" t="s">
        <v>155</v>
      </c>
      <c r="P27" s="7" t="s">
        <v>102</v>
      </c>
      <c r="Q27" s="8" t="str">
        <f>+61 402 161 248</f>
        <v>#ERROR!</v>
      </c>
      <c r="R27" s="6" t="s">
        <v>152</v>
      </c>
      <c r="S27" s="8"/>
      <c r="T27" s="7" t="s">
        <v>156</v>
      </c>
      <c r="U27" s="7" t="s">
        <v>105</v>
      </c>
    </row>
    <row r="28" ht="15.75" customHeight="1">
      <c r="A28" s="5" t="s">
        <v>157</v>
      </c>
      <c r="B28" s="6" t="s">
        <v>158</v>
      </c>
      <c r="C28" s="5" t="s">
        <v>159</v>
      </c>
      <c r="D28" s="6" t="s">
        <v>160</v>
      </c>
      <c r="E28" s="6" t="s">
        <v>43</v>
      </c>
      <c r="F28" s="6" t="s">
        <v>99</v>
      </c>
      <c r="G28" s="7" t="s">
        <v>100</v>
      </c>
      <c r="H28" s="7" t="s">
        <v>100</v>
      </c>
      <c r="I28" s="10">
        <v>41705.0</v>
      </c>
      <c r="J28" s="8"/>
      <c r="K28" s="8"/>
      <c r="L28" s="10">
        <v>41705.0</v>
      </c>
      <c r="M28" s="9">
        <v>45964.0</v>
      </c>
      <c r="N28" s="7" t="s">
        <v>33</v>
      </c>
      <c r="O28" s="7" t="s">
        <v>161</v>
      </c>
      <c r="P28" s="7" t="s">
        <v>102</v>
      </c>
      <c r="Q28" s="7" t="s">
        <v>159</v>
      </c>
      <c r="R28" s="6" t="s">
        <v>158</v>
      </c>
      <c r="S28" s="8"/>
      <c r="T28" s="7" t="s">
        <v>111</v>
      </c>
      <c r="U28" s="7" t="s">
        <v>105</v>
      </c>
    </row>
    <row r="29" ht="15.75" customHeight="1">
      <c r="A29" s="5" t="s">
        <v>162</v>
      </c>
      <c r="B29" s="6" t="s">
        <v>163</v>
      </c>
      <c r="C29" s="5" t="s">
        <v>164</v>
      </c>
      <c r="D29" s="6" t="s">
        <v>165</v>
      </c>
      <c r="E29" s="6" t="s">
        <v>43</v>
      </c>
      <c r="F29" s="6" t="s">
        <v>99</v>
      </c>
      <c r="G29" s="7" t="s">
        <v>100</v>
      </c>
      <c r="H29" s="7" t="s">
        <v>100</v>
      </c>
      <c r="I29" s="10">
        <v>44994.0</v>
      </c>
      <c r="J29" s="8"/>
      <c r="K29" s="8"/>
      <c r="L29" s="10">
        <v>44994.0</v>
      </c>
      <c r="M29" s="9">
        <v>45953.0</v>
      </c>
      <c r="N29" s="7" t="s">
        <v>33</v>
      </c>
      <c r="O29" s="7" t="s">
        <v>162</v>
      </c>
      <c r="P29" s="7" t="s">
        <v>102</v>
      </c>
      <c r="Q29" s="7" t="s">
        <v>164</v>
      </c>
      <c r="R29" s="6" t="s">
        <v>163</v>
      </c>
      <c r="S29" s="8"/>
      <c r="T29" s="7" t="s">
        <v>166</v>
      </c>
      <c r="U29" s="7" t="s">
        <v>105</v>
      </c>
    </row>
    <row r="30" ht="15.75" customHeight="1">
      <c r="A30" s="5" t="s">
        <v>167</v>
      </c>
      <c r="B30" s="12" t="s">
        <v>168</v>
      </c>
      <c r="C30" s="5" t="s">
        <v>169</v>
      </c>
      <c r="D30" s="6" t="s">
        <v>170</v>
      </c>
      <c r="E30" s="6" t="s">
        <v>43</v>
      </c>
      <c r="F30" s="6" t="s">
        <v>67</v>
      </c>
      <c r="G30" s="7" t="s">
        <v>100</v>
      </c>
      <c r="H30" s="7" t="s">
        <v>100</v>
      </c>
      <c r="I30" s="10">
        <v>41843.0</v>
      </c>
      <c r="J30" s="8"/>
      <c r="K30" s="8"/>
      <c r="L30" s="10">
        <v>41843.0</v>
      </c>
      <c r="M30" s="9">
        <v>45965.0</v>
      </c>
      <c r="N30" s="7" t="s">
        <v>33</v>
      </c>
      <c r="O30" s="7" t="s">
        <v>171</v>
      </c>
      <c r="P30" s="7" t="s">
        <v>102</v>
      </c>
      <c r="Q30" s="7" t="s">
        <v>169</v>
      </c>
      <c r="R30" s="6" t="s">
        <v>172</v>
      </c>
      <c r="S30" s="8"/>
      <c r="T30" s="7" t="s">
        <v>173</v>
      </c>
      <c r="U30" s="7" t="s">
        <v>105</v>
      </c>
    </row>
    <row r="31" ht="15.75" customHeight="1">
      <c r="A31" s="5" t="s">
        <v>174</v>
      </c>
      <c r="B31" s="6" t="s">
        <v>175</v>
      </c>
      <c r="C31" s="5" t="s">
        <v>176</v>
      </c>
      <c r="D31" s="6" t="s">
        <v>177</v>
      </c>
      <c r="E31" s="6" t="s">
        <v>43</v>
      </c>
      <c r="F31" s="6" t="s">
        <v>99</v>
      </c>
      <c r="G31" s="7" t="s">
        <v>100</v>
      </c>
      <c r="H31" s="7" t="s">
        <v>100</v>
      </c>
      <c r="I31" s="10">
        <v>41709.0</v>
      </c>
      <c r="J31" s="8"/>
      <c r="K31" s="8"/>
      <c r="L31" s="10">
        <v>41709.0</v>
      </c>
      <c r="M31" s="9">
        <v>45953.0</v>
      </c>
      <c r="N31" s="7" t="s">
        <v>33</v>
      </c>
      <c r="O31" s="7" t="s">
        <v>178</v>
      </c>
      <c r="P31" s="7" t="s">
        <v>102</v>
      </c>
      <c r="Q31" s="7" t="s">
        <v>176</v>
      </c>
      <c r="R31" s="6" t="s">
        <v>175</v>
      </c>
      <c r="S31" s="8"/>
      <c r="T31" s="7" t="s">
        <v>179</v>
      </c>
      <c r="U31" s="7" t="s">
        <v>105</v>
      </c>
    </row>
    <row r="32" ht="15.75" customHeight="1">
      <c r="A32" s="5" t="s">
        <v>180</v>
      </c>
      <c r="B32" s="6" t="s">
        <v>181</v>
      </c>
      <c r="C32" s="5">
        <v>4.19501749E8</v>
      </c>
      <c r="D32" s="6" t="s">
        <v>182</v>
      </c>
      <c r="E32" s="6" t="s">
        <v>43</v>
      </c>
      <c r="F32" s="6" t="s">
        <v>67</v>
      </c>
      <c r="G32" s="7" t="s">
        <v>100</v>
      </c>
      <c r="H32" s="7" t="s">
        <v>100</v>
      </c>
      <c r="I32" s="10">
        <v>41718.0</v>
      </c>
      <c r="J32" s="8"/>
      <c r="K32" s="8"/>
      <c r="L32" s="10">
        <v>41718.0</v>
      </c>
      <c r="M32" s="9">
        <v>45965.0</v>
      </c>
      <c r="N32" s="7" t="s">
        <v>33</v>
      </c>
      <c r="O32" s="7" t="s">
        <v>183</v>
      </c>
      <c r="P32" s="7" t="s">
        <v>102</v>
      </c>
      <c r="Q32" s="7">
        <v>4.19501749E8</v>
      </c>
      <c r="R32" s="6" t="s">
        <v>181</v>
      </c>
      <c r="S32" s="8"/>
      <c r="T32" s="7" t="s">
        <v>184</v>
      </c>
      <c r="U32" s="7" t="s">
        <v>105</v>
      </c>
    </row>
    <row r="33" ht="15.75" customHeight="1">
      <c r="A33" s="5" t="s">
        <v>185</v>
      </c>
      <c r="B33" s="6" t="s">
        <v>186</v>
      </c>
      <c r="C33" s="5" t="s">
        <v>187</v>
      </c>
      <c r="D33" s="6" t="s">
        <v>188</v>
      </c>
      <c r="E33" s="6" t="s">
        <v>43</v>
      </c>
      <c r="F33" s="6" t="s">
        <v>99</v>
      </c>
      <c r="G33" s="7" t="s">
        <v>100</v>
      </c>
      <c r="H33" s="7" t="s">
        <v>100</v>
      </c>
      <c r="I33" s="10">
        <v>43648.0</v>
      </c>
      <c r="J33" s="8"/>
      <c r="K33" s="8"/>
      <c r="L33" s="10">
        <v>43648.0</v>
      </c>
      <c r="M33" s="9">
        <v>45965.0</v>
      </c>
      <c r="N33" s="7" t="s">
        <v>33</v>
      </c>
      <c r="O33" s="7" t="s">
        <v>189</v>
      </c>
      <c r="P33" s="7" t="s">
        <v>102</v>
      </c>
      <c r="Q33" s="7" t="s">
        <v>187</v>
      </c>
      <c r="R33" s="6" t="s">
        <v>186</v>
      </c>
      <c r="S33" s="8"/>
      <c r="T33" s="7" t="s">
        <v>111</v>
      </c>
      <c r="U33" s="7" t="s">
        <v>105</v>
      </c>
    </row>
    <row r="34" ht="15.75" customHeight="1">
      <c r="A34" s="5" t="s">
        <v>190</v>
      </c>
      <c r="B34" s="6" t="s">
        <v>191</v>
      </c>
      <c r="C34" s="5" t="s">
        <v>192</v>
      </c>
      <c r="D34" s="6" t="s">
        <v>193</v>
      </c>
      <c r="E34" s="6" t="s">
        <v>43</v>
      </c>
      <c r="F34" s="6" t="s">
        <v>99</v>
      </c>
      <c r="G34" s="7" t="s">
        <v>100</v>
      </c>
      <c r="H34" s="7" t="s">
        <v>100</v>
      </c>
      <c r="I34" s="10">
        <v>41705.0</v>
      </c>
      <c r="J34" s="8"/>
      <c r="K34" s="8"/>
      <c r="L34" s="10">
        <v>41705.0</v>
      </c>
      <c r="M34" s="9">
        <v>45953.0</v>
      </c>
      <c r="N34" s="7" t="s">
        <v>33</v>
      </c>
      <c r="O34" s="7" t="s">
        <v>194</v>
      </c>
      <c r="P34" s="7" t="s">
        <v>102</v>
      </c>
      <c r="Q34" s="7" t="s">
        <v>192</v>
      </c>
      <c r="R34" s="6" t="s">
        <v>191</v>
      </c>
      <c r="S34" s="8"/>
      <c r="T34" s="7" t="s">
        <v>111</v>
      </c>
      <c r="U34" s="7" t="s">
        <v>105</v>
      </c>
    </row>
    <row r="35" ht="15.75" customHeight="1">
      <c r="A35" s="5" t="s">
        <v>195</v>
      </c>
      <c r="B35" s="6" t="s">
        <v>196</v>
      </c>
      <c r="C35" s="5" t="s">
        <v>197</v>
      </c>
      <c r="D35" s="6" t="s">
        <v>198</v>
      </c>
      <c r="E35" s="6" t="s">
        <v>43</v>
      </c>
      <c r="F35" s="6" t="s">
        <v>199</v>
      </c>
      <c r="G35" s="7" t="s">
        <v>100</v>
      </c>
      <c r="H35" s="7" t="s">
        <v>100</v>
      </c>
      <c r="I35" s="10">
        <v>45550.0</v>
      </c>
      <c r="J35" s="8"/>
      <c r="K35" s="8"/>
      <c r="L35" s="10">
        <v>45550.0</v>
      </c>
      <c r="M35" s="9">
        <v>45953.0</v>
      </c>
      <c r="N35" s="7" t="s">
        <v>33</v>
      </c>
      <c r="O35" s="7" t="s">
        <v>200</v>
      </c>
      <c r="P35" s="7" t="s">
        <v>102</v>
      </c>
      <c r="Q35" s="7" t="s">
        <v>197</v>
      </c>
      <c r="R35" s="6" t="s">
        <v>196</v>
      </c>
      <c r="S35" s="8"/>
      <c r="T35" s="7" t="s">
        <v>201</v>
      </c>
      <c r="U35" s="7" t="s">
        <v>105</v>
      </c>
    </row>
    <row r="36" ht="15.75" customHeight="1">
      <c r="A36" s="5" t="s">
        <v>202</v>
      </c>
      <c r="B36" s="6" t="s">
        <v>203</v>
      </c>
      <c r="C36" s="13" t="s">
        <v>204</v>
      </c>
      <c r="D36" s="6" t="s">
        <v>205</v>
      </c>
      <c r="E36" s="6" t="s">
        <v>43</v>
      </c>
      <c r="F36" s="6" t="s">
        <v>99</v>
      </c>
      <c r="G36" s="7" t="s">
        <v>100</v>
      </c>
      <c r="H36" s="7" t="s">
        <v>100</v>
      </c>
      <c r="I36" s="8"/>
      <c r="J36" s="8"/>
      <c r="K36" s="8"/>
      <c r="L36" s="10">
        <v>45839.0</v>
      </c>
      <c r="M36" s="9">
        <v>45953.0</v>
      </c>
      <c r="N36" s="7" t="s">
        <v>33</v>
      </c>
      <c r="O36" s="7" t="s">
        <v>206</v>
      </c>
      <c r="P36" s="7" t="s">
        <v>102</v>
      </c>
      <c r="Q36" s="8" t="str">
        <f>+61 0405 700 148</f>
        <v>#ERROR!</v>
      </c>
      <c r="R36" s="6" t="s">
        <v>203</v>
      </c>
      <c r="S36" s="7" t="s">
        <v>103</v>
      </c>
      <c r="T36" s="7" t="s">
        <v>104</v>
      </c>
      <c r="U36" s="7" t="s">
        <v>105</v>
      </c>
    </row>
    <row r="37" ht="15.75" customHeight="1">
      <c r="A37" s="5" t="s">
        <v>207</v>
      </c>
      <c r="B37" s="6" t="s">
        <v>208</v>
      </c>
      <c r="C37" s="14">
        <v>4.02065877E8</v>
      </c>
      <c r="D37" s="6" t="s">
        <v>209</v>
      </c>
      <c r="E37" s="6" t="s">
        <v>43</v>
      </c>
      <c r="F37" s="6" t="s">
        <v>99</v>
      </c>
      <c r="G37" s="7" t="s">
        <v>100</v>
      </c>
      <c r="H37" s="7" t="s">
        <v>100</v>
      </c>
      <c r="I37" s="10">
        <v>44466.0</v>
      </c>
      <c r="J37" s="8"/>
      <c r="K37" s="8"/>
      <c r="L37" s="10">
        <v>44466.0</v>
      </c>
      <c r="M37" s="9">
        <v>45953.0</v>
      </c>
      <c r="N37" s="7" t="s">
        <v>33</v>
      </c>
      <c r="O37" s="7" t="s">
        <v>210</v>
      </c>
      <c r="P37" s="7" t="s">
        <v>102</v>
      </c>
      <c r="Q37" s="8"/>
      <c r="R37" s="6" t="s">
        <v>208</v>
      </c>
      <c r="S37" s="8"/>
      <c r="T37" s="7" t="s">
        <v>211</v>
      </c>
      <c r="U37" s="7" t="s">
        <v>105</v>
      </c>
    </row>
    <row r="38" ht="15.75" customHeight="1">
      <c r="A38" s="5" t="s">
        <v>212</v>
      </c>
      <c r="B38" s="6" t="s">
        <v>213</v>
      </c>
      <c r="C38" s="5">
        <v>4.30366678E8</v>
      </c>
      <c r="D38" s="6" t="s">
        <v>214</v>
      </c>
      <c r="E38" s="6" t="s">
        <v>43</v>
      </c>
      <c r="F38" s="6" t="s">
        <v>67</v>
      </c>
      <c r="G38" s="7" t="s">
        <v>100</v>
      </c>
      <c r="H38" s="7" t="s">
        <v>100</v>
      </c>
      <c r="I38" s="10">
        <v>44251.0</v>
      </c>
      <c r="J38" s="8"/>
      <c r="K38" s="8"/>
      <c r="L38" s="10">
        <v>44251.0</v>
      </c>
      <c r="M38" s="9">
        <v>45953.0</v>
      </c>
      <c r="N38" s="7" t="s">
        <v>33</v>
      </c>
      <c r="O38" s="7" t="s">
        <v>215</v>
      </c>
      <c r="P38" s="7" t="s">
        <v>102</v>
      </c>
      <c r="Q38" s="7">
        <v>4.30366678E8</v>
      </c>
      <c r="R38" s="6" t="s">
        <v>213</v>
      </c>
      <c r="S38" s="8"/>
      <c r="T38" s="7" t="s">
        <v>111</v>
      </c>
      <c r="U38" s="7" t="s">
        <v>105</v>
      </c>
    </row>
    <row r="39" ht="15.75" customHeight="1">
      <c r="A39" s="5" t="s">
        <v>216</v>
      </c>
      <c r="B39" s="6" t="s">
        <v>217</v>
      </c>
      <c r="C39" s="5" t="s">
        <v>218</v>
      </c>
      <c r="D39" s="6" t="s">
        <v>219</v>
      </c>
      <c r="E39" s="6" t="s">
        <v>43</v>
      </c>
      <c r="F39" s="6" t="s">
        <v>99</v>
      </c>
      <c r="G39" s="7" t="s">
        <v>100</v>
      </c>
      <c r="H39" s="7" t="s">
        <v>100</v>
      </c>
      <c r="I39" s="10">
        <v>45471.0</v>
      </c>
      <c r="J39" s="8"/>
      <c r="K39" s="8"/>
      <c r="L39" s="10">
        <v>45471.0</v>
      </c>
      <c r="M39" s="9">
        <v>45953.0</v>
      </c>
      <c r="N39" s="7" t="s">
        <v>33</v>
      </c>
      <c r="O39" s="7" t="s">
        <v>220</v>
      </c>
      <c r="P39" s="7" t="s">
        <v>102</v>
      </c>
      <c r="Q39" s="8" t="str">
        <f>+61 422 361 513</f>
        <v>#ERROR!</v>
      </c>
      <c r="R39" s="6" t="s">
        <v>217</v>
      </c>
      <c r="S39" s="8"/>
      <c r="T39" s="7" t="s">
        <v>221</v>
      </c>
      <c r="U39" s="7" t="s">
        <v>105</v>
      </c>
    </row>
    <row r="40" ht="15.75" customHeight="1">
      <c r="A40" s="15" t="s">
        <v>222</v>
      </c>
      <c r="B40" s="6" t="s">
        <v>223</v>
      </c>
      <c r="C40" s="15" t="s">
        <v>224</v>
      </c>
      <c r="D40" s="6" t="s">
        <v>225</v>
      </c>
      <c r="E40" s="6" t="s">
        <v>43</v>
      </c>
      <c r="F40" s="6" t="s">
        <v>99</v>
      </c>
      <c r="G40" s="6" t="s">
        <v>27</v>
      </c>
      <c r="H40" s="6" t="s">
        <v>27</v>
      </c>
      <c r="I40" s="10">
        <v>41703.0</v>
      </c>
      <c r="J40" s="16"/>
      <c r="K40" s="16"/>
      <c r="L40" s="10">
        <v>41703.0</v>
      </c>
      <c r="M40" s="17">
        <v>45964.0</v>
      </c>
      <c r="N40" s="7" t="s">
        <v>33</v>
      </c>
      <c r="O40" s="7" t="s">
        <v>226</v>
      </c>
      <c r="P40" s="6" t="s">
        <v>102</v>
      </c>
      <c r="Q40" s="7" t="s">
        <v>224</v>
      </c>
      <c r="R40" s="6" t="s">
        <v>223</v>
      </c>
      <c r="S40" s="16"/>
      <c r="T40" s="6" t="s">
        <v>111</v>
      </c>
      <c r="U40" s="7" t="s">
        <v>105</v>
      </c>
    </row>
    <row r="41" ht="15.75" customHeight="1">
      <c r="A41" s="15" t="s">
        <v>227</v>
      </c>
      <c r="B41" s="6" t="s">
        <v>228</v>
      </c>
      <c r="C41" s="15">
        <v>4.12059449E8</v>
      </c>
      <c r="D41" s="6" t="s">
        <v>229</v>
      </c>
      <c r="E41" s="6" t="s">
        <v>43</v>
      </c>
      <c r="F41" s="6" t="s">
        <v>230</v>
      </c>
      <c r="G41" s="6" t="s">
        <v>27</v>
      </c>
      <c r="H41" s="6" t="s">
        <v>27</v>
      </c>
      <c r="I41" s="10">
        <v>41737.0</v>
      </c>
      <c r="J41" s="16"/>
      <c r="K41" s="16"/>
      <c r="L41" s="10">
        <v>41737.0</v>
      </c>
      <c r="M41" s="17">
        <v>45953.0</v>
      </c>
      <c r="N41" s="7" t="s">
        <v>33</v>
      </c>
      <c r="O41" s="7" t="s">
        <v>231</v>
      </c>
      <c r="P41" s="6" t="s">
        <v>102</v>
      </c>
      <c r="Q41" s="7">
        <v>4.12059449E8</v>
      </c>
      <c r="R41" s="6" t="s">
        <v>228</v>
      </c>
      <c r="S41" s="16"/>
      <c r="T41" s="6" t="s">
        <v>184</v>
      </c>
      <c r="U41" s="7" t="s">
        <v>105</v>
      </c>
    </row>
    <row r="42" ht="15.75" customHeight="1">
      <c r="A42" s="15" t="s">
        <v>232</v>
      </c>
      <c r="B42" s="12" t="s">
        <v>233</v>
      </c>
      <c r="C42" s="15" t="s">
        <v>234</v>
      </c>
      <c r="D42" s="6" t="s">
        <v>235</v>
      </c>
      <c r="E42" s="6" t="s">
        <v>43</v>
      </c>
      <c r="F42" s="6" t="s">
        <v>67</v>
      </c>
      <c r="G42" s="6" t="s">
        <v>27</v>
      </c>
      <c r="H42" s="6" t="s">
        <v>27</v>
      </c>
      <c r="I42" s="9">
        <v>43417.0</v>
      </c>
      <c r="J42" s="16"/>
      <c r="K42" s="16"/>
      <c r="L42" s="9">
        <v>43417.0</v>
      </c>
      <c r="M42" s="17">
        <v>45953.0</v>
      </c>
      <c r="N42" s="7" t="s">
        <v>33</v>
      </c>
      <c r="O42" s="7" t="s">
        <v>236</v>
      </c>
      <c r="P42" s="6" t="s">
        <v>237</v>
      </c>
      <c r="Q42" s="7" t="s">
        <v>234</v>
      </c>
      <c r="R42" s="6" t="s">
        <v>238</v>
      </c>
      <c r="S42" s="16"/>
      <c r="T42" s="6" t="s">
        <v>111</v>
      </c>
      <c r="U42" s="7" t="s">
        <v>105</v>
      </c>
    </row>
    <row r="43" ht="15.75" customHeight="1">
      <c r="A43" s="15" t="s">
        <v>239</v>
      </c>
      <c r="B43" s="6" t="s">
        <v>240</v>
      </c>
      <c r="C43" s="15">
        <v>4.2839015E8</v>
      </c>
      <c r="D43" s="6" t="s">
        <v>241</v>
      </c>
      <c r="E43" s="6" t="s">
        <v>43</v>
      </c>
      <c r="F43" s="6" t="s">
        <v>99</v>
      </c>
      <c r="G43" s="6" t="s">
        <v>27</v>
      </c>
      <c r="H43" s="6" t="s">
        <v>27</v>
      </c>
      <c r="I43" s="10">
        <v>43902.0</v>
      </c>
      <c r="J43" s="16"/>
      <c r="K43" s="16"/>
      <c r="L43" s="10">
        <v>43902.0</v>
      </c>
      <c r="M43" s="17">
        <v>45953.0</v>
      </c>
      <c r="N43" s="7" t="s">
        <v>33</v>
      </c>
      <c r="O43" s="7" t="s">
        <v>242</v>
      </c>
      <c r="P43" s="6" t="s">
        <v>102</v>
      </c>
      <c r="Q43" s="7">
        <v>4.2839015E8</v>
      </c>
      <c r="R43" s="6" t="s">
        <v>240</v>
      </c>
      <c r="S43" s="16"/>
      <c r="T43" s="6" t="s">
        <v>111</v>
      </c>
      <c r="U43" s="7" t="s">
        <v>105</v>
      </c>
    </row>
    <row r="44" ht="15.75" customHeight="1">
      <c r="A44" s="15" t="s">
        <v>243</v>
      </c>
      <c r="B44" s="6" t="s">
        <v>244</v>
      </c>
      <c r="C44" s="15" t="s">
        <v>245</v>
      </c>
      <c r="D44" s="6" t="s">
        <v>246</v>
      </c>
      <c r="E44" s="6" t="s">
        <v>43</v>
      </c>
      <c r="F44" s="6" t="s">
        <v>99</v>
      </c>
      <c r="G44" s="6" t="s">
        <v>27</v>
      </c>
      <c r="H44" s="6" t="s">
        <v>27</v>
      </c>
      <c r="I44" s="10">
        <v>42066.0</v>
      </c>
      <c r="J44" s="16"/>
      <c r="K44" s="16"/>
      <c r="L44" s="10">
        <v>42066.0</v>
      </c>
      <c r="M44" s="17">
        <v>45961.0</v>
      </c>
      <c r="N44" s="7" t="s">
        <v>33</v>
      </c>
      <c r="O44" s="7" t="s">
        <v>247</v>
      </c>
      <c r="P44" s="6" t="s">
        <v>102</v>
      </c>
      <c r="Q44" s="7" t="s">
        <v>245</v>
      </c>
      <c r="R44" s="6" t="s">
        <v>244</v>
      </c>
      <c r="S44" s="16"/>
      <c r="T44" s="6" t="s">
        <v>111</v>
      </c>
      <c r="U44" s="7" t="s">
        <v>105</v>
      </c>
    </row>
    <row r="45" ht="15.75" customHeight="1">
      <c r="A45" s="15" t="s">
        <v>248</v>
      </c>
      <c r="B45" s="6" t="s">
        <v>249</v>
      </c>
      <c r="C45" s="18">
        <f>+61423268061</f>
        <v>61423268061</v>
      </c>
      <c r="D45" s="6" t="s">
        <v>250</v>
      </c>
      <c r="E45" s="6" t="s">
        <v>43</v>
      </c>
      <c r="F45" s="6" t="s">
        <v>67</v>
      </c>
      <c r="G45" s="6" t="s">
        <v>27</v>
      </c>
      <c r="H45" s="6" t="s">
        <v>27</v>
      </c>
      <c r="I45" s="10">
        <v>44984.0</v>
      </c>
      <c r="J45" s="16"/>
      <c r="K45" s="16"/>
      <c r="L45" s="10">
        <v>44984.0</v>
      </c>
      <c r="M45" s="17">
        <v>45953.0</v>
      </c>
      <c r="N45" s="7" t="s">
        <v>33</v>
      </c>
      <c r="O45" s="7" t="s">
        <v>251</v>
      </c>
      <c r="P45" s="6" t="s">
        <v>102</v>
      </c>
      <c r="Q45" s="8">
        <f>+61423268061</f>
        <v>61423268061</v>
      </c>
      <c r="R45" s="6" t="s">
        <v>249</v>
      </c>
      <c r="S45" s="16"/>
      <c r="T45" s="6" t="s">
        <v>111</v>
      </c>
      <c r="U45" s="7" t="s">
        <v>105</v>
      </c>
    </row>
    <row r="46" ht="15.75" customHeight="1">
      <c r="A46" s="15" t="s">
        <v>252</v>
      </c>
      <c r="B46" s="6" t="s">
        <v>253</v>
      </c>
      <c r="C46" s="18" t="str">
        <f>+61 413 112 873</f>
        <v>#ERROR!</v>
      </c>
      <c r="D46" s="6" t="s">
        <v>254</v>
      </c>
      <c r="E46" s="6" t="s">
        <v>43</v>
      </c>
      <c r="F46" s="6" t="s">
        <v>67</v>
      </c>
      <c r="G46" s="6" t="s">
        <v>27</v>
      </c>
      <c r="H46" s="6" t="s">
        <v>27</v>
      </c>
      <c r="I46" s="10">
        <v>45865.0</v>
      </c>
      <c r="J46" s="16"/>
      <c r="K46" s="16"/>
      <c r="L46" s="10">
        <v>45865.0</v>
      </c>
      <c r="M46" s="17">
        <v>45953.0</v>
      </c>
      <c r="N46" s="7" t="s">
        <v>33</v>
      </c>
      <c r="O46" s="7" t="s">
        <v>255</v>
      </c>
      <c r="P46" s="6" t="s">
        <v>102</v>
      </c>
      <c r="Q46" s="8" t="str">
        <f>+61 413 112 873</f>
        <v>#ERROR!</v>
      </c>
      <c r="R46" s="6" t="s">
        <v>253</v>
      </c>
      <c r="S46" s="16"/>
      <c r="T46" s="6" t="s">
        <v>256</v>
      </c>
      <c r="U46" s="7" t="s">
        <v>105</v>
      </c>
    </row>
    <row r="47" ht="15.75" customHeight="1">
      <c r="A47" s="15" t="s">
        <v>257</v>
      </c>
      <c r="B47" s="6" t="s">
        <v>258</v>
      </c>
      <c r="C47" s="15" t="s">
        <v>259</v>
      </c>
      <c r="D47" s="6" t="s">
        <v>260</v>
      </c>
      <c r="E47" s="6" t="s">
        <v>43</v>
      </c>
      <c r="F47" s="6" t="s">
        <v>199</v>
      </c>
      <c r="G47" s="6" t="s">
        <v>27</v>
      </c>
      <c r="H47" s="6" t="s">
        <v>27</v>
      </c>
      <c r="I47" s="10">
        <v>43327.0</v>
      </c>
      <c r="J47" s="16"/>
      <c r="K47" s="16"/>
      <c r="L47" s="10">
        <v>43327.0</v>
      </c>
      <c r="M47" s="17">
        <v>45953.0</v>
      </c>
      <c r="N47" s="7" t="s">
        <v>33</v>
      </c>
      <c r="O47" s="7" t="s">
        <v>261</v>
      </c>
      <c r="P47" s="6" t="s">
        <v>102</v>
      </c>
      <c r="Q47" s="7" t="s">
        <v>259</v>
      </c>
      <c r="R47" s="6" t="s">
        <v>258</v>
      </c>
      <c r="S47" s="16"/>
      <c r="T47" s="6" t="s">
        <v>262</v>
      </c>
      <c r="U47" s="7" t="s">
        <v>105</v>
      </c>
    </row>
    <row r="48" ht="15.75" customHeight="1">
      <c r="A48" s="15" t="s">
        <v>263</v>
      </c>
      <c r="B48" s="6" t="s">
        <v>264</v>
      </c>
      <c r="C48" s="15" t="s">
        <v>265</v>
      </c>
      <c r="D48" s="6" t="s">
        <v>266</v>
      </c>
      <c r="E48" s="6" t="s">
        <v>43</v>
      </c>
      <c r="F48" s="6" t="s">
        <v>126</v>
      </c>
      <c r="G48" s="6" t="s">
        <v>27</v>
      </c>
      <c r="H48" s="6" t="s">
        <v>27</v>
      </c>
      <c r="I48" s="10">
        <v>41704.0</v>
      </c>
      <c r="J48" s="16"/>
      <c r="K48" s="16"/>
      <c r="L48" s="10">
        <v>41704.0</v>
      </c>
      <c r="M48" s="17">
        <v>45953.0</v>
      </c>
      <c r="N48" s="7" t="s">
        <v>33</v>
      </c>
      <c r="O48" s="7" t="s">
        <v>267</v>
      </c>
      <c r="P48" s="6" t="s">
        <v>268</v>
      </c>
      <c r="Q48" s="7" t="s">
        <v>265</v>
      </c>
      <c r="R48" s="6" t="s">
        <v>264</v>
      </c>
      <c r="S48" s="16"/>
      <c r="T48" s="6" t="s">
        <v>269</v>
      </c>
      <c r="U48" s="7" t="s">
        <v>105</v>
      </c>
    </row>
    <row r="49" ht="15.75" customHeight="1">
      <c r="A49" s="15" t="s">
        <v>270</v>
      </c>
      <c r="B49" s="6" t="s">
        <v>271</v>
      </c>
      <c r="C49" s="15">
        <v>4.0320634E8</v>
      </c>
      <c r="D49" s="6" t="s">
        <v>272</v>
      </c>
      <c r="E49" s="6" t="s">
        <v>43</v>
      </c>
      <c r="F49" s="6" t="s">
        <v>99</v>
      </c>
      <c r="G49" s="6" t="s">
        <v>27</v>
      </c>
      <c r="H49" s="6" t="s">
        <v>27</v>
      </c>
      <c r="I49" s="10">
        <v>45084.0</v>
      </c>
      <c r="J49" s="16"/>
      <c r="K49" s="16"/>
      <c r="L49" s="10">
        <v>45084.0</v>
      </c>
      <c r="M49" s="17">
        <v>45953.0</v>
      </c>
      <c r="N49" s="7" t="s">
        <v>33</v>
      </c>
      <c r="O49" s="7" t="s">
        <v>273</v>
      </c>
      <c r="P49" s="6" t="s">
        <v>102</v>
      </c>
      <c r="Q49" s="7">
        <v>4.0320634E8</v>
      </c>
      <c r="R49" s="6" t="s">
        <v>271</v>
      </c>
      <c r="S49" s="16"/>
      <c r="T49" s="6" t="s">
        <v>274</v>
      </c>
      <c r="U49" s="7" t="s">
        <v>105</v>
      </c>
    </row>
    <row r="50" ht="15.75" customHeight="1">
      <c r="A50" s="15" t="s">
        <v>275</v>
      </c>
      <c r="B50" s="6" t="s">
        <v>276</v>
      </c>
      <c r="C50" s="15">
        <v>4.13352333E8</v>
      </c>
      <c r="D50" s="6" t="s">
        <v>277</v>
      </c>
      <c r="E50" s="6" t="s">
        <v>43</v>
      </c>
      <c r="F50" s="6" t="s">
        <v>278</v>
      </c>
      <c r="G50" s="6" t="s">
        <v>27</v>
      </c>
      <c r="H50" s="6" t="s">
        <v>27</v>
      </c>
      <c r="I50" s="9">
        <v>43022.0</v>
      </c>
      <c r="J50" s="16"/>
      <c r="K50" s="16"/>
      <c r="L50" s="9">
        <v>43022.0</v>
      </c>
      <c r="M50" s="17">
        <v>45953.0</v>
      </c>
      <c r="N50" s="7" t="s">
        <v>33</v>
      </c>
      <c r="O50" s="7" t="s">
        <v>279</v>
      </c>
      <c r="P50" s="6" t="s">
        <v>102</v>
      </c>
      <c r="Q50" s="7">
        <v>4.13352333E8</v>
      </c>
      <c r="R50" s="6" t="s">
        <v>276</v>
      </c>
      <c r="S50" s="16"/>
      <c r="T50" s="6" t="s">
        <v>111</v>
      </c>
      <c r="U50" s="7" t="s">
        <v>105</v>
      </c>
    </row>
    <row r="51" ht="15.75" customHeight="1">
      <c r="A51" s="15" t="s">
        <v>280</v>
      </c>
      <c r="B51" s="6" t="s">
        <v>281</v>
      </c>
      <c r="C51" s="15">
        <v>4.77995519E8</v>
      </c>
      <c r="D51" s="6" t="s">
        <v>282</v>
      </c>
      <c r="E51" s="6" t="s">
        <v>43</v>
      </c>
      <c r="F51" s="6" t="s">
        <v>99</v>
      </c>
      <c r="G51" s="6" t="s">
        <v>27</v>
      </c>
      <c r="H51" s="6" t="s">
        <v>27</v>
      </c>
      <c r="I51" s="10">
        <v>44022.0</v>
      </c>
      <c r="J51" s="16"/>
      <c r="K51" s="16"/>
      <c r="L51" s="10">
        <v>44022.0</v>
      </c>
      <c r="M51" s="17">
        <v>45965.0</v>
      </c>
      <c r="N51" s="7" t="s">
        <v>33</v>
      </c>
      <c r="O51" s="7" t="s">
        <v>283</v>
      </c>
      <c r="P51" s="6" t="s">
        <v>102</v>
      </c>
      <c r="Q51" s="7">
        <v>4.77995519E8</v>
      </c>
      <c r="R51" s="6" t="s">
        <v>281</v>
      </c>
      <c r="S51" s="16"/>
      <c r="T51" s="6" t="s">
        <v>284</v>
      </c>
      <c r="U51" s="7" t="s">
        <v>105</v>
      </c>
    </row>
    <row r="52" ht="15.75" customHeight="1">
      <c r="A52" s="15" t="s">
        <v>285</v>
      </c>
      <c r="B52" s="6" t="s">
        <v>286</v>
      </c>
      <c r="C52" s="15" t="s">
        <v>287</v>
      </c>
      <c r="D52" s="6" t="s">
        <v>288</v>
      </c>
      <c r="E52" s="6" t="s">
        <v>43</v>
      </c>
      <c r="F52" s="6" t="s">
        <v>99</v>
      </c>
      <c r="G52" s="6" t="s">
        <v>27</v>
      </c>
      <c r="H52" s="6" t="s">
        <v>27</v>
      </c>
      <c r="I52" s="10">
        <v>42221.0</v>
      </c>
      <c r="J52" s="16"/>
      <c r="K52" s="16"/>
      <c r="L52" s="10">
        <v>42221.0</v>
      </c>
      <c r="M52" s="17">
        <v>45953.0</v>
      </c>
      <c r="N52" s="7" t="s">
        <v>33</v>
      </c>
      <c r="O52" s="7" t="s">
        <v>289</v>
      </c>
      <c r="P52" s="6" t="s">
        <v>102</v>
      </c>
      <c r="Q52" s="7" t="s">
        <v>287</v>
      </c>
      <c r="R52" s="6" t="s">
        <v>286</v>
      </c>
      <c r="S52" s="16"/>
      <c r="T52" s="6" t="s">
        <v>274</v>
      </c>
      <c r="U52" s="7" t="s">
        <v>105</v>
      </c>
    </row>
    <row r="53" ht="15.75" customHeight="1">
      <c r="A53" s="15" t="s">
        <v>290</v>
      </c>
      <c r="B53" s="6" t="s">
        <v>291</v>
      </c>
      <c r="C53" s="15" t="s">
        <v>292</v>
      </c>
      <c r="D53" s="6" t="s">
        <v>293</v>
      </c>
      <c r="E53" s="6" t="s">
        <v>43</v>
      </c>
      <c r="F53" s="6" t="s">
        <v>294</v>
      </c>
      <c r="G53" s="6" t="s">
        <v>27</v>
      </c>
      <c r="H53" s="6" t="s">
        <v>27</v>
      </c>
      <c r="I53" s="10">
        <v>43613.0</v>
      </c>
      <c r="J53" s="16"/>
      <c r="K53" s="16"/>
      <c r="L53" s="10">
        <v>43613.0</v>
      </c>
      <c r="M53" s="17">
        <v>45953.0</v>
      </c>
      <c r="N53" s="7" t="s">
        <v>33</v>
      </c>
      <c r="O53" s="7" t="s">
        <v>295</v>
      </c>
      <c r="P53" s="6" t="s">
        <v>102</v>
      </c>
      <c r="Q53" s="7" t="s">
        <v>292</v>
      </c>
      <c r="R53" s="6" t="s">
        <v>291</v>
      </c>
      <c r="S53" s="16"/>
      <c r="T53" s="6" t="s">
        <v>296</v>
      </c>
      <c r="U53" s="7" t="s">
        <v>105</v>
      </c>
    </row>
    <row r="54" ht="15.75" customHeight="1">
      <c r="A54" s="15" t="s">
        <v>297</v>
      </c>
      <c r="B54" s="6" t="s">
        <v>298</v>
      </c>
      <c r="C54" s="15" t="s">
        <v>299</v>
      </c>
      <c r="D54" s="6" t="s">
        <v>300</v>
      </c>
      <c r="E54" s="6" t="s">
        <v>43</v>
      </c>
      <c r="F54" s="6" t="s">
        <v>67</v>
      </c>
      <c r="G54" s="6" t="s">
        <v>27</v>
      </c>
      <c r="H54" s="6" t="s">
        <v>27</v>
      </c>
      <c r="I54" s="10">
        <v>41794.0</v>
      </c>
      <c r="J54" s="16"/>
      <c r="K54" s="16"/>
      <c r="L54" s="10">
        <v>41794.0</v>
      </c>
      <c r="M54" s="17">
        <v>45965.0</v>
      </c>
      <c r="N54" s="7" t="s">
        <v>33</v>
      </c>
      <c r="O54" s="7" t="s">
        <v>301</v>
      </c>
      <c r="P54" s="6" t="s">
        <v>102</v>
      </c>
      <c r="Q54" s="7" t="s">
        <v>299</v>
      </c>
      <c r="R54" s="6" t="s">
        <v>298</v>
      </c>
      <c r="S54" s="16"/>
      <c r="T54" s="6" t="s">
        <v>302</v>
      </c>
      <c r="U54" s="7" t="s">
        <v>105</v>
      </c>
    </row>
    <row r="55" ht="15.75" customHeight="1">
      <c r="A55" s="15" t="s">
        <v>303</v>
      </c>
      <c r="B55" s="6" t="s">
        <v>304</v>
      </c>
      <c r="C55" s="15" t="s">
        <v>305</v>
      </c>
      <c r="D55" s="6" t="s">
        <v>306</v>
      </c>
      <c r="E55" s="6" t="s">
        <v>43</v>
      </c>
      <c r="F55" s="6" t="s">
        <v>307</v>
      </c>
      <c r="G55" s="6" t="s">
        <v>27</v>
      </c>
      <c r="H55" s="6" t="s">
        <v>27</v>
      </c>
      <c r="I55" s="10">
        <v>41780.0</v>
      </c>
      <c r="J55" s="16"/>
      <c r="K55" s="16"/>
      <c r="L55" s="10">
        <v>41780.0</v>
      </c>
      <c r="M55" s="17">
        <v>45953.0</v>
      </c>
      <c r="N55" s="7" t="s">
        <v>33</v>
      </c>
      <c r="O55" s="7" t="s">
        <v>308</v>
      </c>
      <c r="P55" s="6" t="s">
        <v>102</v>
      </c>
      <c r="Q55" s="7" t="s">
        <v>305</v>
      </c>
      <c r="R55" s="6" t="s">
        <v>304</v>
      </c>
      <c r="S55" s="16"/>
      <c r="T55" s="6" t="s">
        <v>111</v>
      </c>
      <c r="U55" s="7" t="s">
        <v>105</v>
      </c>
    </row>
    <row r="56" ht="15.75" customHeight="1">
      <c r="A56" s="15" t="s">
        <v>309</v>
      </c>
      <c r="B56" s="6" t="s">
        <v>310</v>
      </c>
      <c r="C56" s="15" t="s">
        <v>311</v>
      </c>
      <c r="D56" s="6" t="s">
        <v>312</v>
      </c>
      <c r="E56" s="6" t="s">
        <v>43</v>
      </c>
      <c r="F56" s="6" t="s">
        <v>99</v>
      </c>
      <c r="G56" s="6" t="s">
        <v>27</v>
      </c>
      <c r="H56" s="6" t="s">
        <v>27</v>
      </c>
      <c r="I56" s="10">
        <v>42055.0</v>
      </c>
      <c r="J56" s="16"/>
      <c r="K56" s="16"/>
      <c r="L56" s="10">
        <v>42055.0</v>
      </c>
      <c r="M56" s="17">
        <v>45965.0</v>
      </c>
      <c r="N56" s="7" t="s">
        <v>33</v>
      </c>
      <c r="O56" s="7" t="s">
        <v>313</v>
      </c>
      <c r="P56" s="6" t="s">
        <v>102</v>
      </c>
      <c r="Q56" s="7" t="s">
        <v>311</v>
      </c>
      <c r="R56" s="6" t="s">
        <v>310</v>
      </c>
      <c r="S56" s="16"/>
      <c r="T56" s="6" t="s">
        <v>111</v>
      </c>
      <c r="U56" s="7" t="s">
        <v>105</v>
      </c>
    </row>
    <row r="57" ht="15.75" customHeight="1">
      <c r="A57" s="15" t="s">
        <v>314</v>
      </c>
      <c r="B57" s="6" t="s">
        <v>315</v>
      </c>
      <c r="C57" s="15">
        <v>4.01904189E8</v>
      </c>
      <c r="D57" s="6" t="s">
        <v>316</v>
      </c>
      <c r="E57" s="6" t="s">
        <v>43</v>
      </c>
      <c r="F57" s="6" t="s">
        <v>67</v>
      </c>
      <c r="G57" s="6" t="s">
        <v>27</v>
      </c>
      <c r="H57" s="6" t="s">
        <v>27</v>
      </c>
      <c r="I57" s="10">
        <v>45035.0</v>
      </c>
      <c r="J57" s="16"/>
      <c r="K57" s="16"/>
      <c r="L57" s="10">
        <v>45035.0</v>
      </c>
      <c r="M57" s="17">
        <v>45953.0</v>
      </c>
      <c r="N57" s="7" t="s">
        <v>33</v>
      </c>
      <c r="O57" s="7" t="s">
        <v>178</v>
      </c>
      <c r="P57" s="6" t="s">
        <v>102</v>
      </c>
      <c r="Q57" s="7">
        <v>4.01904189E8</v>
      </c>
      <c r="R57" s="6" t="s">
        <v>315</v>
      </c>
      <c r="S57" s="16"/>
      <c r="T57" s="6" t="s">
        <v>111</v>
      </c>
      <c r="U57" s="7" t="s">
        <v>105</v>
      </c>
    </row>
    <row r="58" ht="15.75" customHeight="1">
      <c r="A58" s="15" t="s">
        <v>317</v>
      </c>
      <c r="B58" s="6" t="s">
        <v>318</v>
      </c>
      <c r="C58" s="15">
        <v>4.16781223E8</v>
      </c>
      <c r="D58" s="6" t="s">
        <v>319</v>
      </c>
      <c r="E58" s="6" t="s">
        <v>43</v>
      </c>
      <c r="F58" s="6" t="s">
        <v>67</v>
      </c>
      <c r="G58" s="6" t="s">
        <v>27</v>
      </c>
      <c r="H58" s="6" t="s">
        <v>27</v>
      </c>
      <c r="I58" s="9">
        <v>43040.0</v>
      </c>
      <c r="J58" s="16"/>
      <c r="K58" s="16"/>
      <c r="L58" s="9">
        <v>43040.0</v>
      </c>
      <c r="M58" s="17">
        <v>45953.0</v>
      </c>
      <c r="N58" s="7" t="s">
        <v>33</v>
      </c>
      <c r="O58" s="7" t="s">
        <v>289</v>
      </c>
      <c r="P58" s="6" t="s">
        <v>102</v>
      </c>
      <c r="Q58" s="7">
        <v>4.16781223E8</v>
      </c>
      <c r="R58" s="6" t="s">
        <v>318</v>
      </c>
      <c r="S58" s="16"/>
      <c r="T58" s="6" t="s">
        <v>111</v>
      </c>
      <c r="U58" s="7" t="s">
        <v>105</v>
      </c>
    </row>
    <row r="59" ht="15.75" customHeight="1">
      <c r="A59" s="15" t="s">
        <v>320</v>
      </c>
      <c r="B59" s="6" t="s">
        <v>321</v>
      </c>
      <c r="C59" s="18" t="str">
        <f>+61 408 568 105</f>
        <v>#ERROR!</v>
      </c>
      <c r="D59" s="6" t="s">
        <v>322</v>
      </c>
      <c r="E59" s="6" t="s">
        <v>43</v>
      </c>
      <c r="F59" s="6" t="s">
        <v>99</v>
      </c>
      <c r="G59" s="6" t="s">
        <v>27</v>
      </c>
      <c r="H59" s="6" t="s">
        <v>27</v>
      </c>
      <c r="I59" s="10">
        <v>44431.0</v>
      </c>
      <c r="J59" s="16"/>
      <c r="K59" s="16"/>
      <c r="L59" s="10">
        <v>44431.0</v>
      </c>
      <c r="M59" s="17">
        <v>45953.0</v>
      </c>
      <c r="N59" s="7" t="s">
        <v>33</v>
      </c>
      <c r="O59" s="7" t="s">
        <v>323</v>
      </c>
      <c r="P59" s="6" t="s">
        <v>102</v>
      </c>
      <c r="Q59" s="8" t="str">
        <f>+61 408 568 105</f>
        <v>#ERROR!</v>
      </c>
      <c r="R59" s="6" t="s">
        <v>321</v>
      </c>
      <c r="S59" s="16"/>
      <c r="T59" s="6" t="s">
        <v>111</v>
      </c>
      <c r="U59" s="7" t="s">
        <v>105</v>
      </c>
    </row>
    <row r="60" ht="15.75" customHeight="1">
      <c r="A60" s="15" t="s">
        <v>324</v>
      </c>
      <c r="B60" s="6" t="s">
        <v>325</v>
      </c>
      <c r="C60" s="15">
        <v>4.21930585E8</v>
      </c>
      <c r="D60" s="6" t="s">
        <v>326</v>
      </c>
      <c r="E60" s="6" t="s">
        <v>43</v>
      </c>
      <c r="F60" s="6" t="s">
        <v>67</v>
      </c>
      <c r="G60" s="6" t="s">
        <v>27</v>
      </c>
      <c r="H60" s="6" t="s">
        <v>27</v>
      </c>
      <c r="I60" s="10">
        <v>43486.0</v>
      </c>
      <c r="J60" s="16"/>
      <c r="K60" s="16"/>
      <c r="L60" s="10">
        <v>43486.0</v>
      </c>
      <c r="M60" s="17">
        <v>45953.0</v>
      </c>
      <c r="N60" s="7" t="s">
        <v>33</v>
      </c>
      <c r="O60" s="7" t="s">
        <v>327</v>
      </c>
      <c r="P60" s="6" t="s">
        <v>102</v>
      </c>
      <c r="Q60" s="7">
        <v>4.21930585E8</v>
      </c>
      <c r="R60" s="6" t="s">
        <v>325</v>
      </c>
      <c r="S60" s="16"/>
      <c r="T60" s="6" t="s">
        <v>328</v>
      </c>
      <c r="U60" s="7" t="s">
        <v>105</v>
      </c>
    </row>
    <row r="61" ht="15.75" customHeight="1">
      <c r="A61" s="15" t="s">
        <v>329</v>
      </c>
      <c r="B61" s="6" t="s">
        <v>330</v>
      </c>
      <c r="C61" s="15" t="s">
        <v>331</v>
      </c>
      <c r="D61" s="6" t="s">
        <v>332</v>
      </c>
      <c r="E61" s="6" t="s">
        <v>43</v>
      </c>
      <c r="F61" s="6" t="s">
        <v>99</v>
      </c>
      <c r="G61" s="6" t="s">
        <v>27</v>
      </c>
      <c r="H61" s="6" t="s">
        <v>27</v>
      </c>
      <c r="I61" s="10">
        <v>43573.0</v>
      </c>
      <c r="J61" s="16"/>
      <c r="K61" s="16"/>
      <c r="L61" s="10">
        <v>43573.0</v>
      </c>
      <c r="M61" s="17">
        <v>45953.0</v>
      </c>
      <c r="N61" s="7" t="s">
        <v>33</v>
      </c>
      <c r="O61" s="7" t="s">
        <v>333</v>
      </c>
      <c r="P61" s="6" t="s">
        <v>102</v>
      </c>
      <c r="Q61" s="7" t="s">
        <v>331</v>
      </c>
      <c r="R61" s="6" t="s">
        <v>330</v>
      </c>
      <c r="S61" s="16"/>
      <c r="T61" s="6" t="s">
        <v>211</v>
      </c>
      <c r="U61" s="7" t="s">
        <v>105</v>
      </c>
    </row>
    <row r="62" ht="15.75" customHeight="1">
      <c r="A62" s="19" t="s">
        <v>334</v>
      </c>
      <c r="B62" s="20" t="s">
        <v>335</v>
      </c>
      <c r="E62" s="6" t="s">
        <v>43</v>
      </c>
      <c r="F62" s="6" t="s">
        <v>99</v>
      </c>
      <c r="N62" s="7" t="s">
        <v>33</v>
      </c>
      <c r="O62" s="19" t="s">
        <v>336</v>
      </c>
      <c r="R62" s="20" t="s">
        <v>337</v>
      </c>
      <c r="U62" s="4" t="s">
        <v>338</v>
      </c>
    </row>
    <row r="63" ht="15.75" customHeight="1">
      <c r="A63" s="19" t="s">
        <v>339</v>
      </c>
      <c r="B63" s="19" t="s">
        <v>340</v>
      </c>
      <c r="E63" s="6" t="s">
        <v>43</v>
      </c>
      <c r="F63" s="4" t="s">
        <v>341</v>
      </c>
      <c r="N63" s="7" t="s">
        <v>33</v>
      </c>
      <c r="O63" s="19" t="s">
        <v>342</v>
      </c>
      <c r="R63" s="19" t="s">
        <v>340</v>
      </c>
      <c r="U63" s="4" t="s">
        <v>338</v>
      </c>
    </row>
    <row r="64" ht="15.75" customHeight="1">
      <c r="A64" s="19" t="s">
        <v>343</v>
      </c>
      <c r="B64" s="19" t="s">
        <v>344</v>
      </c>
      <c r="E64" s="6" t="s">
        <v>43</v>
      </c>
      <c r="F64" s="4" t="s">
        <v>341</v>
      </c>
      <c r="N64" s="7" t="s">
        <v>33</v>
      </c>
      <c r="O64" s="19" t="s">
        <v>251</v>
      </c>
      <c r="R64" s="19" t="s">
        <v>344</v>
      </c>
      <c r="U64" s="4" t="s">
        <v>338</v>
      </c>
    </row>
    <row r="65" ht="15.75" customHeight="1">
      <c r="A65" s="19" t="s">
        <v>345</v>
      </c>
      <c r="B65" s="20" t="s">
        <v>346</v>
      </c>
      <c r="E65" s="6" t="s">
        <v>43</v>
      </c>
      <c r="F65" s="4" t="s">
        <v>341</v>
      </c>
      <c r="N65" s="7" t="s">
        <v>33</v>
      </c>
      <c r="O65" s="19" t="s">
        <v>347</v>
      </c>
      <c r="R65" s="20" t="s">
        <v>348</v>
      </c>
      <c r="U65" s="4" t="s">
        <v>338</v>
      </c>
    </row>
    <row r="66" ht="15.75" customHeight="1">
      <c r="A66" s="19" t="s">
        <v>349</v>
      </c>
      <c r="B66" s="19" t="s">
        <v>350</v>
      </c>
      <c r="E66" s="6" t="s">
        <v>43</v>
      </c>
      <c r="F66" s="6" t="s">
        <v>99</v>
      </c>
      <c r="N66" s="7" t="s">
        <v>33</v>
      </c>
      <c r="O66" s="19" t="s">
        <v>351</v>
      </c>
      <c r="R66" s="19" t="s">
        <v>350</v>
      </c>
      <c r="U66" s="4" t="s">
        <v>338</v>
      </c>
    </row>
    <row r="67" ht="15.75" customHeight="1">
      <c r="A67" s="19" t="s">
        <v>352</v>
      </c>
      <c r="B67" s="19" t="s">
        <v>353</v>
      </c>
      <c r="E67" s="6" t="s">
        <v>43</v>
      </c>
      <c r="F67" s="6" t="s">
        <v>99</v>
      </c>
      <c r="N67" s="7" t="s">
        <v>33</v>
      </c>
      <c r="O67" s="19" t="s">
        <v>354</v>
      </c>
      <c r="R67" s="19" t="s">
        <v>353</v>
      </c>
      <c r="U67" s="4" t="s">
        <v>338</v>
      </c>
    </row>
    <row r="68" ht="15.75" customHeight="1">
      <c r="A68" s="19" t="s">
        <v>355</v>
      </c>
      <c r="B68" s="20" t="s">
        <v>356</v>
      </c>
      <c r="E68" s="6" t="s">
        <v>43</v>
      </c>
      <c r="F68" s="6" t="s">
        <v>99</v>
      </c>
      <c r="N68" s="7" t="s">
        <v>33</v>
      </c>
      <c r="O68" s="19" t="s">
        <v>357</v>
      </c>
      <c r="R68" s="20" t="s">
        <v>358</v>
      </c>
      <c r="U68" s="4" t="s">
        <v>338</v>
      </c>
    </row>
    <row r="69" ht="15.75" customHeight="1">
      <c r="A69" s="19" t="s">
        <v>359</v>
      </c>
      <c r="B69" s="19" t="s">
        <v>360</v>
      </c>
      <c r="E69" s="6" t="s">
        <v>43</v>
      </c>
      <c r="F69" s="6" t="s">
        <v>99</v>
      </c>
      <c r="N69" s="7" t="s">
        <v>33</v>
      </c>
      <c r="O69" s="19" t="s">
        <v>361</v>
      </c>
      <c r="R69" s="19" t="s">
        <v>360</v>
      </c>
      <c r="U69" s="4" t="s">
        <v>338</v>
      </c>
    </row>
    <row r="70" ht="15.75" customHeight="1">
      <c r="A70" s="19" t="s">
        <v>362</v>
      </c>
      <c r="B70" s="19" t="s">
        <v>363</v>
      </c>
      <c r="E70" s="6" t="s">
        <v>43</v>
      </c>
      <c r="F70" s="6" t="s">
        <v>99</v>
      </c>
      <c r="N70" s="7" t="s">
        <v>33</v>
      </c>
      <c r="O70" s="19" t="s">
        <v>364</v>
      </c>
      <c r="R70" s="19" t="s">
        <v>363</v>
      </c>
      <c r="U70" s="4" t="s">
        <v>338</v>
      </c>
    </row>
    <row r="71" ht="15.75" customHeight="1">
      <c r="A71" s="19" t="s">
        <v>365</v>
      </c>
      <c r="B71" s="20" t="s">
        <v>366</v>
      </c>
      <c r="E71" s="6" t="s">
        <v>43</v>
      </c>
      <c r="F71" s="6" t="s">
        <v>99</v>
      </c>
      <c r="N71" s="7" t="s">
        <v>33</v>
      </c>
      <c r="O71" s="19" t="s">
        <v>367</v>
      </c>
      <c r="R71" s="20" t="s">
        <v>368</v>
      </c>
      <c r="U71" s="4" t="s">
        <v>338</v>
      </c>
    </row>
    <row r="72" ht="15.75" customHeight="1">
      <c r="A72" s="19" t="s">
        <v>369</v>
      </c>
      <c r="B72" s="19" t="s">
        <v>370</v>
      </c>
      <c r="E72" s="6" t="s">
        <v>43</v>
      </c>
      <c r="F72" s="4" t="s">
        <v>371</v>
      </c>
      <c r="N72" s="7" t="s">
        <v>33</v>
      </c>
      <c r="O72" s="19" t="s">
        <v>372</v>
      </c>
      <c r="R72" s="19" t="s">
        <v>370</v>
      </c>
      <c r="U72" s="4" t="s">
        <v>338</v>
      </c>
    </row>
    <row r="73" ht="15.75" customHeight="1">
      <c r="A73" s="19" t="s">
        <v>373</v>
      </c>
      <c r="B73" s="20" t="s">
        <v>374</v>
      </c>
      <c r="E73" s="6" t="s">
        <v>43</v>
      </c>
      <c r="F73" s="4" t="s">
        <v>375</v>
      </c>
      <c r="N73" s="7" t="s">
        <v>33</v>
      </c>
      <c r="O73" s="19" t="s">
        <v>376</v>
      </c>
      <c r="R73" s="20" t="s">
        <v>377</v>
      </c>
      <c r="U73" s="4" t="s">
        <v>338</v>
      </c>
    </row>
    <row r="74" ht="15.75" customHeight="1">
      <c r="A74" s="19" t="s">
        <v>378</v>
      </c>
      <c r="B74" s="20" t="s">
        <v>379</v>
      </c>
      <c r="E74" s="6" t="s">
        <v>43</v>
      </c>
      <c r="F74" s="4" t="s">
        <v>380</v>
      </c>
      <c r="N74" s="7" t="s">
        <v>33</v>
      </c>
      <c r="O74" s="19" t="s">
        <v>381</v>
      </c>
      <c r="R74" s="20" t="s">
        <v>382</v>
      </c>
      <c r="U74" s="4" t="s">
        <v>338</v>
      </c>
    </row>
    <row r="75" ht="15.75" customHeight="1">
      <c r="A75" s="19" t="s">
        <v>383</v>
      </c>
      <c r="B75" s="19" t="s">
        <v>384</v>
      </c>
      <c r="E75" s="6" t="s">
        <v>43</v>
      </c>
      <c r="F75" s="4" t="s">
        <v>385</v>
      </c>
      <c r="N75" s="7" t="s">
        <v>33</v>
      </c>
      <c r="O75" s="19" t="s">
        <v>386</v>
      </c>
      <c r="R75" s="19" t="s">
        <v>384</v>
      </c>
      <c r="U75" s="4" t="s">
        <v>338</v>
      </c>
    </row>
    <row r="76" ht="15.75" customHeight="1">
      <c r="A76" s="19" t="s">
        <v>387</v>
      </c>
      <c r="B76" s="19" t="s">
        <v>388</v>
      </c>
      <c r="E76" s="6" t="s">
        <v>43</v>
      </c>
      <c r="F76" s="4" t="s">
        <v>99</v>
      </c>
      <c r="N76" s="7" t="s">
        <v>33</v>
      </c>
      <c r="O76" s="19" t="s">
        <v>389</v>
      </c>
      <c r="R76" s="19" t="s">
        <v>388</v>
      </c>
      <c r="U76" s="4" t="s">
        <v>338</v>
      </c>
    </row>
    <row r="77" ht="15.75" customHeight="1">
      <c r="A77" s="19" t="s">
        <v>390</v>
      </c>
      <c r="B77" s="20" t="s">
        <v>391</v>
      </c>
      <c r="E77" s="6" t="s">
        <v>43</v>
      </c>
      <c r="F77" s="4" t="s">
        <v>380</v>
      </c>
      <c r="N77" s="7" t="s">
        <v>33</v>
      </c>
      <c r="O77" s="19" t="s">
        <v>392</v>
      </c>
      <c r="R77" s="20" t="s">
        <v>393</v>
      </c>
      <c r="U77" s="4" t="s">
        <v>338</v>
      </c>
    </row>
    <row r="78" ht="15.75" customHeight="1">
      <c r="A78" s="19" t="s">
        <v>394</v>
      </c>
      <c r="B78" s="20" t="s">
        <v>395</v>
      </c>
      <c r="E78" s="6" t="s">
        <v>43</v>
      </c>
      <c r="F78" s="4" t="s">
        <v>396</v>
      </c>
      <c r="N78" s="7" t="s">
        <v>33</v>
      </c>
      <c r="O78" s="19" t="s">
        <v>397</v>
      </c>
      <c r="R78" s="20" t="s">
        <v>398</v>
      </c>
      <c r="U78" s="4" t="s">
        <v>338</v>
      </c>
    </row>
    <row r="79" ht="15.75" customHeight="1">
      <c r="A79" s="19" t="s">
        <v>399</v>
      </c>
      <c r="B79" s="19" t="s">
        <v>400</v>
      </c>
      <c r="E79" s="6" t="s">
        <v>43</v>
      </c>
      <c r="F79" s="4" t="s">
        <v>396</v>
      </c>
      <c r="N79" s="7" t="s">
        <v>33</v>
      </c>
      <c r="O79" s="19" t="s">
        <v>401</v>
      </c>
      <c r="R79" s="19" t="s">
        <v>400</v>
      </c>
      <c r="U79" s="4" t="s">
        <v>338</v>
      </c>
    </row>
    <row r="80" ht="15.75" customHeight="1">
      <c r="A80" s="19" t="s">
        <v>402</v>
      </c>
      <c r="B80" s="19" t="s">
        <v>403</v>
      </c>
      <c r="E80" s="6" t="s">
        <v>43</v>
      </c>
      <c r="F80" s="4" t="s">
        <v>396</v>
      </c>
      <c r="N80" s="7" t="s">
        <v>33</v>
      </c>
      <c r="O80" s="19" t="s">
        <v>404</v>
      </c>
      <c r="R80" s="19" t="s">
        <v>403</v>
      </c>
      <c r="U80" s="4" t="s">
        <v>338</v>
      </c>
    </row>
    <row r="81" ht="15.75" customHeight="1">
      <c r="A81" s="19" t="s">
        <v>405</v>
      </c>
      <c r="B81" s="19" t="s">
        <v>406</v>
      </c>
      <c r="E81" s="6" t="s">
        <v>43</v>
      </c>
      <c r="F81" s="4" t="s">
        <v>407</v>
      </c>
      <c r="N81" s="7" t="s">
        <v>33</v>
      </c>
      <c r="O81" s="19" t="s">
        <v>408</v>
      </c>
      <c r="R81" s="19" t="s">
        <v>406</v>
      </c>
      <c r="U81" s="4" t="s">
        <v>338</v>
      </c>
    </row>
    <row r="82" ht="15.75" customHeight="1">
      <c r="A82" s="19" t="s">
        <v>409</v>
      </c>
      <c r="B82" s="19" t="s">
        <v>410</v>
      </c>
      <c r="E82" s="6" t="s">
        <v>43</v>
      </c>
      <c r="F82" s="4" t="s">
        <v>411</v>
      </c>
      <c r="N82" s="7" t="s">
        <v>33</v>
      </c>
      <c r="O82" s="19" t="s">
        <v>412</v>
      </c>
      <c r="R82" s="19" t="s">
        <v>410</v>
      </c>
      <c r="U82" s="4" t="s">
        <v>338</v>
      </c>
    </row>
    <row r="83" ht="15.75" customHeight="1">
      <c r="A83" s="19" t="s">
        <v>413</v>
      </c>
      <c r="B83" s="19" t="s">
        <v>414</v>
      </c>
      <c r="E83" s="6" t="s">
        <v>43</v>
      </c>
      <c r="F83" s="4" t="s">
        <v>371</v>
      </c>
      <c r="N83" s="7" t="s">
        <v>33</v>
      </c>
      <c r="O83" s="19" t="s">
        <v>415</v>
      </c>
      <c r="R83" s="19" t="s">
        <v>414</v>
      </c>
      <c r="U83" s="4" t="s">
        <v>338</v>
      </c>
    </row>
    <row r="84" ht="15.75" customHeight="1">
      <c r="A84" s="19" t="s">
        <v>416</v>
      </c>
      <c r="B84" s="19" t="s">
        <v>417</v>
      </c>
      <c r="E84" s="6" t="s">
        <v>43</v>
      </c>
      <c r="F84" s="4" t="s">
        <v>411</v>
      </c>
      <c r="N84" s="7" t="s">
        <v>33</v>
      </c>
      <c r="O84" s="19" t="s">
        <v>418</v>
      </c>
      <c r="R84" s="19" t="s">
        <v>417</v>
      </c>
      <c r="U84" s="4" t="s">
        <v>338</v>
      </c>
    </row>
    <row r="85" ht="15.75" customHeight="1">
      <c r="A85" s="19" t="s">
        <v>419</v>
      </c>
      <c r="B85" s="19" t="s">
        <v>420</v>
      </c>
      <c r="E85" s="6" t="s">
        <v>43</v>
      </c>
      <c r="F85" s="4" t="s">
        <v>421</v>
      </c>
      <c r="N85" s="7" t="s">
        <v>33</v>
      </c>
      <c r="O85" s="19" t="s">
        <v>422</v>
      </c>
      <c r="R85" s="19" t="s">
        <v>420</v>
      </c>
      <c r="U85" s="4" t="s">
        <v>338</v>
      </c>
    </row>
    <row r="86" ht="15.75" customHeight="1">
      <c r="A86" s="19" t="s">
        <v>423</v>
      </c>
      <c r="B86" s="20" t="s">
        <v>424</v>
      </c>
      <c r="E86" s="6" t="s">
        <v>43</v>
      </c>
      <c r="F86" s="4" t="s">
        <v>425</v>
      </c>
      <c r="N86" s="7" t="s">
        <v>33</v>
      </c>
      <c r="O86" s="19" t="s">
        <v>426</v>
      </c>
      <c r="R86" s="20" t="s">
        <v>427</v>
      </c>
      <c r="U86" s="4" t="s">
        <v>338</v>
      </c>
    </row>
    <row r="87" ht="15.75" customHeight="1">
      <c r="A87" s="19" t="s">
        <v>428</v>
      </c>
      <c r="B87" s="19" t="s">
        <v>429</v>
      </c>
      <c r="E87" s="6" t="s">
        <v>43</v>
      </c>
      <c r="F87" s="4" t="s">
        <v>385</v>
      </c>
      <c r="N87" s="7" t="s">
        <v>33</v>
      </c>
      <c r="O87" s="19" t="s">
        <v>430</v>
      </c>
      <c r="R87" s="19" t="s">
        <v>429</v>
      </c>
      <c r="U87" s="4" t="s">
        <v>338</v>
      </c>
    </row>
    <row r="88" ht="15.75" customHeight="1">
      <c r="A88" s="19" t="s">
        <v>431</v>
      </c>
      <c r="B88" s="20" t="s">
        <v>432</v>
      </c>
      <c r="E88" s="6" t="s">
        <v>43</v>
      </c>
      <c r="F88" s="4" t="s">
        <v>99</v>
      </c>
      <c r="N88" s="7" t="s">
        <v>33</v>
      </c>
      <c r="O88" s="19" t="s">
        <v>433</v>
      </c>
      <c r="R88" s="20" t="s">
        <v>434</v>
      </c>
      <c r="U88" s="4" t="s">
        <v>338</v>
      </c>
    </row>
    <row r="89" ht="15.75" customHeight="1">
      <c r="A89" s="19" t="s">
        <v>435</v>
      </c>
      <c r="B89" s="19" t="s">
        <v>436</v>
      </c>
      <c r="E89" s="6" t="s">
        <v>43</v>
      </c>
      <c r="F89" s="4" t="s">
        <v>99</v>
      </c>
      <c r="N89" s="7" t="s">
        <v>33</v>
      </c>
      <c r="O89" s="19" t="s">
        <v>437</v>
      </c>
      <c r="R89" s="19" t="s">
        <v>436</v>
      </c>
      <c r="U89" s="4" t="s">
        <v>338</v>
      </c>
    </row>
    <row r="90" ht="15.75" customHeight="1">
      <c r="A90" s="19" t="s">
        <v>438</v>
      </c>
      <c r="B90" s="19" t="s">
        <v>439</v>
      </c>
      <c r="E90" s="6" t="s">
        <v>43</v>
      </c>
      <c r="F90" s="4" t="s">
        <v>99</v>
      </c>
      <c r="N90" s="7" t="s">
        <v>33</v>
      </c>
      <c r="O90" s="19" t="s">
        <v>440</v>
      </c>
      <c r="R90" s="19" t="s">
        <v>439</v>
      </c>
      <c r="U90" s="4" t="s">
        <v>338</v>
      </c>
    </row>
    <row r="91" ht="15.75" customHeight="1">
      <c r="A91" s="19" t="s">
        <v>441</v>
      </c>
      <c r="B91" s="20" t="s">
        <v>442</v>
      </c>
      <c r="E91" s="6" t="s">
        <v>43</v>
      </c>
      <c r="F91" s="4" t="s">
        <v>99</v>
      </c>
      <c r="N91" s="7" t="s">
        <v>33</v>
      </c>
      <c r="O91" s="19" t="s">
        <v>443</v>
      </c>
      <c r="R91" s="20" t="s">
        <v>444</v>
      </c>
      <c r="U91" s="4" t="s">
        <v>338</v>
      </c>
    </row>
    <row r="92" ht="15.75" customHeight="1">
      <c r="A92" s="19" t="s">
        <v>445</v>
      </c>
      <c r="B92" s="19" t="s">
        <v>446</v>
      </c>
      <c r="E92" s="6" t="s">
        <v>43</v>
      </c>
      <c r="F92" s="4" t="s">
        <v>99</v>
      </c>
      <c r="N92" s="7" t="s">
        <v>33</v>
      </c>
      <c r="O92" s="19" t="s">
        <v>447</v>
      </c>
      <c r="R92" s="19" t="s">
        <v>446</v>
      </c>
      <c r="U92" s="4" t="s">
        <v>338</v>
      </c>
    </row>
    <row r="93" ht="15.75" customHeight="1">
      <c r="A93" s="19" t="s">
        <v>448</v>
      </c>
      <c r="B93" s="19" t="s">
        <v>449</v>
      </c>
      <c r="E93" s="6" t="s">
        <v>43</v>
      </c>
      <c r="F93" s="4" t="s">
        <v>385</v>
      </c>
      <c r="N93" s="7" t="s">
        <v>33</v>
      </c>
      <c r="O93" s="19" t="s">
        <v>450</v>
      </c>
      <c r="R93" s="19" t="s">
        <v>449</v>
      </c>
      <c r="U93" s="4" t="s">
        <v>338</v>
      </c>
    </row>
    <row r="94" ht="15.75" customHeight="1">
      <c r="A94" s="19" t="s">
        <v>451</v>
      </c>
      <c r="B94" s="19" t="s">
        <v>452</v>
      </c>
      <c r="C94" s="1"/>
      <c r="E94" s="6" t="s">
        <v>43</v>
      </c>
      <c r="F94" s="4" t="s">
        <v>371</v>
      </c>
      <c r="N94" s="7" t="s">
        <v>33</v>
      </c>
      <c r="O94" s="19" t="s">
        <v>453</v>
      </c>
      <c r="R94" s="19" t="s">
        <v>452</v>
      </c>
      <c r="U94" s="4" t="s">
        <v>338</v>
      </c>
    </row>
    <row r="95" ht="15.75" customHeight="1">
      <c r="A95" s="19" t="s">
        <v>454</v>
      </c>
      <c r="B95" s="19" t="s">
        <v>455</v>
      </c>
      <c r="C95" s="1"/>
      <c r="E95" s="6" t="s">
        <v>43</v>
      </c>
      <c r="F95" s="4" t="s">
        <v>385</v>
      </c>
      <c r="N95" s="7" t="s">
        <v>33</v>
      </c>
      <c r="O95" s="19" t="s">
        <v>456</v>
      </c>
      <c r="R95" s="19" t="s">
        <v>455</v>
      </c>
      <c r="U95" s="4" t="s">
        <v>338</v>
      </c>
    </row>
    <row r="96" ht="15.75" customHeight="1">
      <c r="A96" s="19" t="s">
        <v>457</v>
      </c>
      <c r="B96" s="19" t="s">
        <v>458</v>
      </c>
      <c r="C96" s="1"/>
      <c r="E96" s="6" t="s">
        <v>43</v>
      </c>
      <c r="F96" s="4" t="s">
        <v>459</v>
      </c>
      <c r="N96" s="7" t="s">
        <v>33</v>
      </c>
      <c r="O96" s="19" t="s">
        <v>460</v>
      </c>
      <c r="R96" s="19" t="s">
        <v>458</v>
      </c>
      <c r="U96" s="4" t="s">
        <v>338</v>
      </c>
    </row>
    <row r="97" ht="15.75" customHeight="1">
      <c r="A97" s="19" t="s">
        <v>461</v>
      </c>
      <c r="B97" s="19" t="s">
        <v>462</v>
      </c>
      <c r="C97" s="1"/>
      <c r="E97" s="6" t="s">
        <v>43</v>
      </c>
      <c r="F97" s="4" t="s">
        <v>463</v>
      </c>
      <c r="N97" s="7" t="s">
        <v>33</v>
      </c>
      <c r="O97" s="19" t="s">
        <v>381</v>
      </c>
      <c r="R97" s="19" t="s">
        <v>462</v>
      </c>
      <c r="U97" s="4" t="s">
        <v>338</v>
      </c>
    </row>
    <row r="98" ht="15.75" customHeight="1">
      <c r="A98" s="19" t="s">
        <v>464</v>
      </c>
      <c r="B98" s="20" t="s">
        <v>465</v>
      </c>
      <c r="C98" s="1"/>
      <c r="E98" s="6" t="s">
        <v>43</v>
      </c>
      <c r="F98" s="4" t="s">
        <v>99</v>
      </c>
      <c r="N98" s="7" t="s">
        <v>33</v>
      </c>
      <c r="O98" s="19" t="s">
        <v>466</v>
      </c>
      <c r="R98" s="20" t="s">
        <v>467</v>
      </c>
      <c r="U98" s="4" t="s">
        <v>338</v>
      </c>
    </row>
    <row r="99" ht="15.75" customHeight="1">
      <c r="A99" s="19"/>
      <c r="B99" s="21"/>
      <c r="C99" s="1"/>
      <c r="E99" s="6"/>
      <c r="F99" s="4"/>
      <c r="N99" s="7"/>
      <c r="O99" s="19"/>
      <c r="R99" s="21"/>
      <c r="U99" s="4"/>
    </row>
    <row r="100" ht="15.75" customHeight="1">
      <c r="A100" s="19" t="s">
        <v>468</v>
      </c>
      <c r="B100" s="20" t="s">
        <v>469</v>
      </c>
      <c r="C100" s="1"/>
      <c r="E100" s="6" t="s">
        <v>43</v>
      </c>
      <c r="F100" s="4" t="s">
        <v>99</v>
      </c>
      <c r="N100" s="7" t="s">
        <v>33</v>
      </c>
      <c r="O100" s="19" t="s">
        <v>470</v>
      </c>
      <c r="R100" s="20" t="s">
        <v>471</v>
      </c>
      <c r="U100" s="4" t="s">
        <v>338</v>
      </c>
    </row>
    <row r="101" ht="15.75" customHeight="1">
      <c r="A101" s="19" t="s">
        <v>472</v>
      </c>
      <c r="B101" s="19" t="s">
        <v>473</v>
      </c>
      <c r="C101" s="1"/>
      <c r="E101" s="6" t="s">
        <v>43</v>
      </c>
      <c r="F101" s="4" t="s">
        <v>99</v>
      </c>
      <c r="N101" s="7" t="s">
        <v>33</v>
      </c>
      <c r="O101" s="19" t="s">
        <v>289</v>
      </c>
      <c r="R101" s="19" t="s">
        <v>473</v>
      </c>
      <c r="U101" s="4" t="s">
        <v>338</v>
      </c>
    </row>
    <row r="102" ht="15.75" customHeight="1">
      <c r="A102" s="19" t="s">
        <v>474</v>
      </c>
      <c r="B102" s="19" t="s">
        <v>475</v>
      </c>
      <c r="C102" s="1"/>
      <c r="E102" s="6" t="s">
        <v>43</v>
      </c>
      <c r="F102" s="4" t="s">
        <v>99</v>
      </c>
      <c r="N102" s="7" t="s">
        <v>33</v>
      </c>
      <c r="O102" s="19" t="s">
        <v>476</v>
      </c>
      <c r="R102" s="19" t="s">
        <v>475</v>
      </c>
      <c r="U102" s="4" t="s">
        <v>338</v>
      </c>
    </row>
    <row r="103" ht="15.75" customHeight="1">
      <c r="A103" s="19" t="s">
        <v>477</v>
      </c>
      <c r="B103" s="19" t="s">
        <v>478</v>
      </c>
      <c r="C103" s="1"/>
      <c r="E103" s="6" t="s">
        <v>43</v>
      </c>
      <c r="F103" s="4" t="s">
        <v>425</v>
      </c>
      <c r="N103" s="7" t="s">
        <v>33</v>
      </c>
      <c r="O103" s="19" t="s">
        <v>479</v>
      </c>
      <c r="R103" s="19" t="s">
        <v>478</v>
      </c>
      <c r="U103" s="4" t="s">
        <v>338</v>
      </c>
    </row>
    <row r="104" ht="15.75" customHeight="1">
      <c r="A104" s="19" t="s">
        <v>480</v>
      </c>
      <c r="B104" s="19" t="s">
        <v>481</v>
      </c>
      <c r="C104" s="1"/>
      <c r="E104" s="6" t="s">
        <v>43</v>
      </c>
      <c r="F104" s="4" t="s">
        <v>99</v>
      </c>
      <c r="N104" s="7" t="s">
        <v>33</v>
      </c>
      <c r="O104" s="19" t="s">
        <v>482</v>
      </c>
      <c r="R104" s="19" t="s">
        <v>481</v>
      </c>
      <c r="U104" s="4" t="s">
        <v>338</v>
      </c>
    </row>
    <row r="105" ht="15.75" customHeight="1">
      <c r="A105" s="19" t="s">
        <v>483</v>
      </c>
      <c r="B105" s="19" t="s">
        <v>484</v>
      </c>
      <c r="C105" s="1"/>
      <c r="E105" s="6" t="s">
        <v>43</v>
      </c>
      <c r="F105" s="4" t="s">
        <v>99</v>
      </c>
      <c r="N105" s="7" t="s">
        <v>33</v>
      </c>
      <c r="O105" s="19" t="s">
        <v>485</v>
      </c>
      <c r="R105" s="19" t="s">
        <v>484</v>
      </c>
      <c r="U105" s="4" t="s">
        <v>338</v>
      </c>
    </row>
    <row r="106" ht="15.75" customHeight="1">
      <c r="A106" s="19" t="s">
        <v>486</v>
      </c>
      <c r="B106" s="19" t="s">
        <v>487</v>
      </c>
      <c r="C106" s="1"/>
      <c r="E106" s="6" t="s">
        <v>43</v>
      </c>
      <c r="F106" s="4" t="s">
        <v>488</v>
      </c>
      <c r="N106" s="7" t="s">
        <v>33</v>
      </c>
      <c r="O106" s="19" t="s">
        <v>489</v>
      </c>
      <c r="R106" s="19" t="s">
        <v>487</v>
      </c>
      <c r="U106" s="4" t="s">
        <v>338</v>
      </c>
    </row>
    <row r="107" ht="15.75" customHeight="1">
      <c r="A107" s="19" t="s">
        <v>490</v>
      </c>
      <c r="B107" s="19" t="s">
        <v>491</v>
      </c>
      <c r="C107" s="1"/>
      <c r="E107" s="6" t="s">
        <v>43</v>
      </c>
      <c r="F107" s="4" t="s">
        <v>492</v>
      </c>
      <c r="N107" s="7" t="s">
        <v>33</v>
      </c>
      <c r="O107" s="19" t="s">
        <v>493</v>
      </c>
      <c r="R107" s="19" t="s">
        <v>491</v>
      </c>
      <c r="U107" s="4" t="s">
        <v>338</v>
      </c>
    </row>
    <row r="108" ht="15.75" customHeight="1">
      <c r="A108" s="1"/>
      <c r="C108" s="1"/>
    </row>
    <row r="109" ht="15.75" customHeight="1">
      <c r="A109" s="22" t="s">
        <v>494</v>
      </c>
      <c r="B109" s="22" t="s">
        <v>495</v>
      </c>
      <c r="C109" s="22">
        <v>2.20706446E8</v>
      </c>
      <c r="D109" s="22" t="s">
        <v>496</v>
      </c>
      <c r="E109" s="4" t="s">
        <v>497</v>
      </c>
      <c r="G109" s="4" t="s">
        <v>100</v>
      </c>
      <c r="I109" s="23">
        <v>44158.5125</v>
      </c>
    </row>
    <row r="110" ht="15.75" customHeight="1">
      <c r="A110" s="22" t="s">
        <v>498</v>
      </c>
      <c r="B110" s="22" t="s">
        <v>499</v>
      </c>
      <c r="C110" s="22">
        <v>1.11111111111111E14</v>
      </c>
      <c r="D110" s="22" t="s">
        <v>500</v>
      </c>
      <c r="E110" s="4" t="s">
        <v>497</v>
      </c>
      <c r="G110" s="4" t="s">
        <v>100</v>
      </c>
      <c r="I110" s="24">
        <v>45700.54722222222</v>
      </c>
    </row>
    <row r="111" ht="15.75" customHeight="1">
      <c r="A111" s="22" t="s">
        <v>501</v>
      </c>
      <c r="B111" s="22" t="s">
        <v>502</v>
      </c>
      <c r="C111" s="22" t="s">
        <v>503</v>
      </c>
      <c r="D111" s="22" t="s">
        <v>504</v>
      </c>
      <c r="E111" s="4" t="s">
        <v>497</v>
      </c>
      <c r="G111" s="4" t="s">
        <v>100</v>
      </c>
      <c r="H111" s="4" t="s">
        <v>100</v>
      </c>
      <c r="I111" s="24">
        <v>44252.28958333333</v>
      </c>
    </row>
    <row r="112" ht="15.75" customHeight="1">
      <c r="A112" s="22" t="s">
        <v>505</v>
      </c>
      <c r="B112" s="22" t="s">
        <v>506</v>
      </c>
      <c r="C112" s="22" t="s">
        <v>507</v>
      </c>
      <c r="D112" s="22" t="s">
        <v>508</v>
      </c>
      <c r="E112" s="4" t="s">
        <v>497</v>
      </c>
      <c r="G112" s="4" t="s">
        <v>100</v>
      </c>
      <c r="H112" s="4" t="s">
        <v>100</v>
      </c>
      <c r="I112" s="24">
        <v>43622.37986111111</v>
      </c>
    </row>
    <row r="113" ht="15.75" customHeight="1">
      <c r="A113" s="22" t="s">
        <v>509</v>
      </c>
      <c r="B113" s="22" t="s">
        <v>510</v>
      </c>
      <c r="C113" s="22">
        <v>6710106.0</v>
      </c>
      <c r="D113" s="22" t="s">
        <v>511</v>
      </c>
      <c r="E113" s="4" t="s">
        <v>497</v>
      </c>
      <c r="G113" s="4" t="s">
        <v>100</v>
      </c>
      <c r="I113" s="24">
        <v>45439.37986111111</v>
      </c>
    </row>
    <row r="114" ht="15.75" customHeight="1">
      <c r="A114" s="25" t="s">
        <v>512</v>
      </c>
      <c r="B114" s="22" t="s">
        <v>513</v>
      </c>
      <c r="C114" s="22" t="s">
        <v>514</v>
      </c>
      <c r="D114" s="22" t="s">
        <v>515</v>
      </c>
      <c r="E114" s="4" t="s">
        <v>497</v>
      </c>
      <c r="I114" s="24">
        <v>44753.39236111111</v>
      </c>
    </row>
    <row r="115" ht="15.75" customHeight="1">
      <c r="A115" s="22" t="s">
        <v>516</v>
      </c>
      <c r="B115" s="22" t="s">
        <v>517</v>
      </c>
      <c r="C115" s="22">
        <v>2.75426624E8</v>
      </c>
      <c r="D115" s="26"/>
      <c r="E115" s="4" t="s">
        <v>497</v>
      </c>
      <c r="G115" s="4" t="s">
        <v>100</v>
      </c>
      <c r="H115" s="4" t="s">
        <v>100</v>
      </c>
      <c r="I115" s="24">
        <v>45498.28402777778</v>
      </c>
    </row>
    <row r="116" ht="15.75" customHeight="1">
      <c r="A116" s="22" t="s">
        <v>518</v>
      </c>
      <c r="B116" s="22" t="s">
        <v>519</v>
      </c>
      <c r="C116" s="22" t="s">
        <v>520</v>
      </c>
      <c r="D116" s="22" t="s">
        <v>521</v>
      </c>
      <c r="E116" s="4" t="s">
        <v>497</v>
      </c>
      <c r="G116" s="4" t="s">
        <v>100</v>
      </c>
      <c r="H116" s="4" t="s">
        <v>100</v>
      </c>
      <c r="I116" s="24">
        <v>45306.29583333333</v>
      </c>
    </row>
    <row r="117" ht="15.75" customHeight="1">
      <c r="A117" s="22" t="s">
        <v>522</v>
      </c>
      <c r="B117" s="22" t="s">
        <v>523</v>
      </c>
      <c r="C117" s="26" t="str">
        <f>+64 9 523 7650</f>
        <v>#ERROR!</v>
      </c>
      <c r="D117" s="26"/>
      <c r="E117" s="4" t="s">
        <v>497</v>
      </c>
      <c r="I117" s="23">
        <v>43739.40833333333</v>
      </c>
    </row>
    <row r="118" ht="15.75" customHeight="1">
      <c r="A118" s="22" t="s">
        <v>524</v>
      </c>
      <c r="B118" s="22" t="s">
        <v>525</v>
      </c>
      <c r="C118" s="22">
        <v>2.1519299E7</v>
      </c>
      <c r="D118" s="22" t="s">
        <v>526</v>
      </c>
      <c r="E118" s="4" t="s">
        <v>497</v>
      </c>
      <c r="G118" s="4" t="s">
        <v>100</v>
      </c>
      <c r="H118" s="4" t="s">
        <v>100</v>
      </c>
      <c r="I118" s="24">
        <v>43605.30902777778</v>
      </c>
    </row>
    <row r="119" ht="15.75" customHeight="1">
      <c r="A119" s="22" t="s">
        <v>527</v>
      </c>
      <c r="B119" s="22" t="s">
        <v>528</v>
      </c>
      <c r="C119" s="22" t="s">
        <v>529</v>
      </c>
      <c r="D119" s="22" t="s">
        <v>530</v>
      </c>
      <c r="E119" s="4" t="s">
        <v>497</v>
      </c>
      <c r="G119" s="4" t="s">
        <v>100</v>
      </c>
      <c r="H119" s="4" t="s">
        <v>100</v>
      </c>
      <c r="I119" s="24">
        <v>43605.305555555555</v>
      </c>
    </row>
    <row r="120" ht="15.75" customHeight="1">
      <c r="A120" s="22" t="s">
        <v>531</v>
      </c>
      <c r="B120" s="22" t="s">
        <v>532</v>
      </c>
      <c r="C120" s="22">
        <v>1.11111111E8</v>
      </c>
      <c r="D120" s="22" t="s">
        <v>533</v>
      </c>
      <c r="E120" s="4" t="s">
        <v>497</v>
      </c>
      <c r="I120" s="24">
        <v>44770.365277777775</v>
      </c>
    </row>
    <row r="121" ht="15.75" customHeight="1">
      <c r="A121" s="22" t="s">
        <v>534</v>
      </c>
      <c r="B121" s="22" t="s">
        <v>535</v>
      </c>
      <c r="C121" s="22" t="s">
        <v>536</v>
      </c>
      <c r="D121" s="22" t="s">
        <v>537</v>
      </c>
      <c r="E121" s="4" t="s">
        <v>497</v>
      </c>
      <c r="I121" s="24">
        <v>45693.385416666664</v>
      </c>
    </row>
    <row r="122" ht="15.75" customHeight="1">
      <c r="A122" s="22" t="s">
        <v>538</v>
      </c>
      <c r="B122" s="22" t="s">
        <v>539</v>
      </c>
      <c r="C122" s="22" t="s">
        <v>540</v>
      </c>
      <c r="D122" s="22" t="s">
        <v>541</v>
      </c>
      <c r="E122" s="4" t="s">
        <v>497</v>
      </c>
      <c r="G122" s="4" t="s">
        <v>100</v>
      </c>
      <c r="H122" s="4" t="s">
        <v>100</v>
      </c>
      <c r="I122" s="24">
        <v>43602.68263888889</v>
      </c>
    </row>
    <row r="123" ht="15.75" customHeight="1">
      <c r="A123" s="22" t="s">
        <v>542</v>
      </c>
      <c r="B123" s="22" t="s">
        <v>543</v>
      </c>
      <c r="C123" s="26" t="str">
        <f>+64 3 379 7400</f>
        <v>#ERROR!</v>
      </c>
      <c r="D123" s="22" t="s">
        <v>544</v>
      </c>
      <c r="E123" s="4" t="s">
        <v>497</v>
      </c>
      <c r="I123" s="23">
        <v>43767.285416666666</v>
      </c>
    </row>
    <row r="124" ht="15.75" customHeight="1">
      <c r="A124" s="22" t="s">
        <v>545</v>
      </c>
      <c r="B124" s="22" t="s">
        <v>546</v>
      </c>
      <c r="C124" s="26" t="str">
        <f>+64 21 173 6407</f>
        <v>#ERROR!</v>
      </c>
      <c r="D124" s="22" t="s">
        <v>547</v>
      </c>
      <c r="E124" s="4" t="s">
        <v>497</v>
      </c>
      <c r="G124" s="4" t="s">
        <v>100</v>
      </c>
      <c r="H124" s="4" t="s">
        <v>100</v>
      </c>
      <c r="I124" s="24">
        <v>45071.45694444444</v>
      </c>
    </row>
    <row r="125" ht="15.75" customHeight="1">
      <c r="A125" s="22" t="s">
        <v>548</v>
      </c>
      <c r="B125" s="22" t="s">
        <v>549</v>
      </c>
      <c r="C125" s="26" t="str">
        <f>+64 9 475 9305</f>
        <v>#ERROR!</v>
      </c>
      <c r="D125" s="22" t="s">
        <v>550</v>
      </c>
      <c r="E125" s="4" t="s">
        <v>497</v>
      </c>
      <c r="I125" s="24">
        <v>43602.64027777778</v>
      </c>
    </row>
    <row r="126" ht="15.75" customHeight="1">
      <c r="A126" s="22" t="s">
        <v>551</v>
      </c>
      <c r="B126" s="22" t="s">
        <v>552</v>
      </c>
      <c r="C126" s="22">
        <v>2.73750724E8</v>
      </c>
      <c r="D126" s="22" t="s">
        <v>553</v>
      </c>
      <c r="E126" s="4" t="s">
        <v>497</v>
      </c>
      <c r="G126" s="4" t="s">
        <v>100</v>
      </c>
      <c r="H126" s="4" t="s">
        <v>100</v>
      </c>
      <c r="I126" s="24">
        <v>44258.50555555556</v>
      </c>
    </row>
    <row r="127" ht="15.75" customHeight="1">
      <c r="A127" s="22" t="s">
        <v>554</v>
      </c>
      <c r="B127" s="22" t="s">
        <v>555</v>
      </c>
      <c r="C127" s="22">
        <v>2.11680174E8</v>
      </c>
      <c r="D127" s="22" t="s">
        <v>556</v>
      </c>
      <c r="E127" s="4" t="s">
        <v>497</v>
      </c>
      <c r="G127" s="4" t="s">
        <v>100</v>
      </c>
      <c r="H127" s="4" t="s">
        <v>100</v>
      </c>
      <c r="I127" s="24">
        <v>45854.520833333336</v>
      </c>
    </row>
    <row r="128" ht="15.75" customHeight="1">
      <c r="A128" s="22" t="s">
        <v>557</v>
      </c>
      <c r="B128" s="22" t="s">
        <v>558</v>
      </c>
      <c r="C128" s="22">
        <v>2.193211E7</v>
      </c>
      <c r="D128" s="22" t="s">
        <v>559</v>
      </c>
      <c r="E128" s="4" t="s">
        <v>497</v>
      </c>
      <c r="G128" s="4" t="s">
        <v>100</v>
      </c>
      <c r="H128" s="4" t="s">
        <v>100</v>
      </c>
      <c r="I128" s="24">
        <v>44617.51875</v>
      </c>
    </row>
    <row r="129" ht="15.75" customHeight="1">
      <c r="A129" s="22" t="s">
        <v>560</v>
      </c>
      <c r="B129" s="22" t="s">
        <v>561</v>
      </c>
      <c r="C129" s="22">
        <v>2.10626161E8</v>
      </c>
      <c r="D129" s="22" t="s">
        <v>562</v>
      </c>
      <c r="E129" s="4" t="s">
        <v>497</v>
      </c>
      <c r="G129" s="4" t="s">
        <v>100</v>
      </c>
      <c r="H129" s="4" t="s">
        <v>100</v>
      </c>
      <c r="I129" s="24">
        <v>45901.29513888889</v>
      </c>
    </row>
    <row r="130" ht="15.75" customHeight="1">
      <c r="A130" s="22" t="s">
        <v>563</v>
      </c>
      <c r="B130" s="22" t="s">
        <v>564</v>
      </c>
      <c r="C130" s="22">
        <v>2.1502027E7</v>
      </c>
      <c r="D130" s="22" t="s">
        <v>565</v>
      </c>
      <c r="E130" s="4" t="s">
        <v>497</v>
      </c>
      <c r="G130" s="4" t="s">
        <v>100</v>
      </c>
      <c r="H130" s="4" t="s">
        <v>100</v>
      </c>
      <c r="I130" s="23">
        <v>44133.32638888889</v>
      </c>
    </row>
    <row r="131" ht="15.75" customHeight="1">
      <c r="A131" s="22" t="s">
        <v>566</v>
      </c>
      <c r="B131" s="22" t="s">
        <v>567</v>
      </c>
      <c r="C131" s="22" t="s">
        <v>568</v>
      </c>
      <c r="D131" s="22" t="s">
        <v>569</v>
      </c>
      <c r="E131" s="4" t="s">
        <v>497</v>
      </c>
      <c r="G131" s="4" t="s">
        <v>100</v>
      </c>
      <c r="H131" s="4" t="s">
        <v>100</v>
      </c>
      <c r="I131" s="24">
        <v>45432.63125</v>
      </c>
    </row>
    <row r="132" ht="15.75" customHeight="1">
      <c r="A132" s="22" t="s">
        <v>570</v>
      </c>
      <c r="B132" s="22" t="s">
        <v>571</v>
      </c>
      <c r="C132" s="22">
        <v>2.1477839E7</v>
      </c>
      <c r="D132" s="22" t="s">
        <v>570</v>
      </c>
      <c r="E132" s="4" t="s">
        <v>497</v>
      </c>
      <c r="I132" s="24">
        <v>43734.59305555555</v>
      </c>
    </row>
    <row r="133" ht="15.75" customHeight="1">
      <c r="A133" s="22" t="s">
        <v>572</v>
      </c>
      <c r="B133" s="22" t="s">
        <v>573</v>
      </c>
      <c r="C133" s="22" t="s">
        <v>574</v>
      </c>
      <c r="D133" s="22" t="s">
        <v>575</v>
      </c>
      <c r="E133" s="4" t="s">
        <v>497</v>
      </c>
      <c r="G133" s="4" t="s">
        <v>100</v>
      </c>
      <c r="H133" s="4" t="s">
        <v>100</v>
      </c>
      <c r="I133" s="24">
        <v>44816.30625</v>
      </c>
    </row>
    <row r="134" ht="15.75" customHeight="1">
      <c r="A134" s="22" t="s">
        <v>576</v>
      </c>
      <c r="B134" s="22" t="s">
        <v>577</v>
      </c>
      <c r="C134" s="22" t="s">
        <v>578</v>
      </c>
      <c r="D134" s="22" t="s">
        <v>579</v>
      </c>
      <c r="E134" s="4" t="s">
        <v>497</v>
      </c>
      <c r="I134" s="24">
        <v>43605.316666666666</v>
      </c>
    </row>
    <row r="135" ht="15.75" customHeight="1">
      <c r="A135" s="22" t="s">
        <v>580</v>
      </c>
      <c r="B135" s="22" t="s">
        <v>581</v>
      </c>
      <c r="C135" s="22">
        <v>2.18977E7</v>
      </c>
      <c r="D135" s="22" t="s">
        <v>582</v>
      </c>
      <c r="E135" s="4" t="s">
        <v>497</v>
      </c>
      <c r="G135" s="4" t="s">
        <v>100</v>
      </c>
      <c r="H135" s="4" t="s">
        <v>100</v>
      </c>
      <c r="I135" s="24">
        <v>45819.40833333333</v>
      </c>
    </row>
    <row r="136" ht="15.75" customHeight="1">
      <c r="A136" s="22" t="s">
        <v>583</v>
      </c>
      <c r="B136" s="22" t="s">
        <v>584</v>
      </c>
      <c r="C136" s="22">
        <v>4.0407825E8</v>
      </c>
      <c r="D136" s="22" t="s">
        <v>585</v>
      </c>
      <c r="E136" s="4" t="s">
        <v>497</v>
      </c>
      <c r="I136" s="24">
        <v>43957.37430555555</v>
      </c>
    </row>
    <row r="137" ht="15.75" customHeight="1">
      <c r="A137" s="22" t="s">
        <v>586</v>
      </c>
      <c r="B137" s="22" t="s">
        <v>587</v>
      </c>
      <c r="C137" s="22" t="s">
        <v>588</v>
      </c>
      <c r="D137" s="22" t="s">
        <v>589</v>
      </c>
      <c r="E137" s="4" t="s">
        <v>497</v>
      </c>
      <c r="G137" s="4" t="s">
        <v>100</v>
      </c>
      <c r="H137" s="4" t="s">
        <v>100</v>
      </c>
      <c r="I137" s="24">
        <v>43602.63402777778</v>
      </c>
    </row>
    <row r="138" ht="15.75" customHeight="1">
      <c r="A138" s="22" t="s">
        <v>590</v>
      </c>
      <c r="B138" s="22" t="s">
        <v>591</v>
      </c>
      <c r="C138" s="22">
        <v>2.12752225E8</v>
      </c>
      <c r="D138" s="22" t="s">
        <v>592</v>
      </c>
      <c r="E138" s="4" t="s">
        <v>497</v>
      </c>
      <c r="G138" s="4" t="s">
        <v>100</v>
      </c>
      <c r="I138" s="24">
        <v>44614.45416666667</v>
      </c>
    </row>
    <row r="139" ht="15.75" customHeight="1">
      <c r="A139" s="22" t="s">
        <v>593</v>
      </c>
      <c r="B139" s="22" t="s">
        <v>594</v>
      </c>
      <c r="C139" s="26" t="str">
        <f>+64 22 310 0223</f>
        <v>#ERROR!</v>
      </c>
      <c r="D139" s="22" t="s">
        <v>595</v>
      </c>
      <c r="E139" s="4" t="s">
        <v>497</v>
      </c>
      <c r="G139" s="4" t="s">
        <v>100</v>
      </c>
      <c r="H139" s="4" t="s">
        <v>100</v>
      </c>
      <c r="I139" s="23">
        <v>45943.41805555556</v>
      </c>
    </row>
    <row r="140" ht="15.75" customHeight="1">
      <c r="A140" s="22" t="s">
        <v>596</v>
      </c>
      <c r="B140" s="22" t="s">
        <v>597</v>
      </c>
      <c r="C140" s="26" t="str">
        <f>+64 9274 3099</f>
        <v>#ERROR!</v>
      </c>
      <c r="D140" s="22" t="s">
        <v>598</v>
      </c>
      <c r="E140" s="4" t="s">
        <v>497</v>
      </c>
      <c r="G140" s="4" t="s">
        <v>100</v>
      </c>
      <c r="H140" s="4" t="s">
        <v>100</v>
      </c>
      <c r="I140" s="24">
        <v>43602.62569444445</v>
      </c>
    </row>
    <row r="141" ht="15.75" customHeight="1">
      <c r="A141" s="27" t="s">
        <v>599</v>
      </c>
      <c r="B141" s="27" t="s">
        <v>600</v>
      </c>
      <c r="C141" s="1"/>
      <c r="G141" s="4" t="s">
        <v>27</v>
      </c>
    </row>
    <row r="142" ht="15.75" customHeight="1">
      <c r="A142" s="27" t="s">
        <v>601</v>
      </c>
      <c r="B142" s="27" t="s">
        <v>602</v>
      </c>
      <c r="C142" s="1"/>
      <c r="G142" s="4" t="s">
        <v>27</v>
      </c>
    </row>
    <row r="143" ht="15.75" customHeight="1">
      <c r="A143" s="27" t="s">
        <v>603</v>
      </c>
      <c r="B143" s="27" t="s">
        <v>604</v>
      </c>
      <c r="C143" s="1"/>
      <c r="G143" s="4" t="s">
        <v>27</v>
      </c>
    </row>
    <row r="144" ht="15.75" customHeight="1">
      <c r="A144" s="27" t="s">
        <v>605</v>
      </c>
      <c r="B144" s="27" t="s">
        <v>606</v>
      </c>
      <c r="C144" s="1"/>
      <c r="G144" s="4" t="s">
        <v>27</v>
      </c>
    </row>
    <row r="145" ht="15.75" customHeight="1">
      <c r="A145" s="27" t="s">
        <v>607</v>
      </c>
      <c r="B145" s="27" t="s">
        <v>608</v>
      </c>
      <c r="C145" s="1"/>
      <c r="G145" s="4" t="s">
        <v>27</v>
      </c>
    </row>
    <row r="146" ht="15.75" customHeight="1">
      <c r="A146" s="27" t="s">
        <v>609</v>
      </c>
      <c r="B146" s="27" t="s">
        <v>610</v>
      </c>
      <c r="C146" s="1"/>
      <c r="G146" s="4" t="s">
        <v>27</v>
      </c>
    </row>
    <row r="147" ht="15.75" customHeight="1">
      <c r="A147" s="27" t="s">
        <v>611</v>
      </c>
      <c r="B147" s="27" t="s">
        <v>612</v>
      </c>
      <c r="C147" s="1"/>
      <c r="G147" s="4" t="s">
        <v>27</v>
      </c>
      <c r="H147" s="4" t="s">
        <v>27</v>
      </c>
    </row>
    <row r="148" ht="15.75" customHeight="1">
      <c r="A148" s="27" t="s">
        <v>613</v>
      </c>
      <c r="B148" s="27" t="s">
        <v>614</v>
      </c>
      <c r="C148" s="1"/>
      <c r="G148" s="4" t="s">
        <v>27</v>
      </c>
      <c r="H148" s="4" t="s">
        <v>27</v>
      </c>
    </row>
    <row r="149" ht="15.75" customHeight="1">
      <c r="A149" s="27" t="s">
        <v>615</v>
      </c>
      <c r="B149" s="27" t="s">
        <v>616</v>
      </c>
      <c r="C149" s="1"/>
      <c r="G149" s="4" t="s">
        <v>27</v>
      </c>
    </row>
    <row r="150" ht="15.75" customHeight="1">
      <c r="A150" s="1"/>
      <c r="B150" s="22"/>
      <c r="C150" s="1"/>
    </row>
    <row r="151" ht="15.75" customHeight="1">
      <c r="A151" s="1"/>
      <c r="B151" s="22"/>
      <c r="C151" s="1"/>
    </row>
    <row r="152" ht="15.75" customHeight="1">
      <c r="A152" s="1"/>
      <c r="B152" s="22"/>
      <c r="C152" s="1"/>
    </row>
    <row r="153" ht="15.75" customHeight="1">
      <c r="A153" s="1"/>
      <c r="B153" s="22"/>
      <c r="C153" s="1"/>
    </row>
    <row r="154" ht="15.75" customHeight="1">
      <c r="A154" s="1"/>
      <c r="B154" s="22"/>
      <c r="C154" s="1"/>
    </row>
    <row r="155" ht="15.75" customHeight="1">
      <c r="A155" s="1"/>
      <c r="B155" s="22"/>
      <c r="C155" s="1"/>
    </row>
    <row r="156" ht="15.75" customHeight="1">
      <c r="A156" s="1"/>
      <c r="B156" s="22"/>
      <c r="C156" s="1"/>
    </row>
    <row r="157" ht="15.75" customHeight="1">
      <c r="A157" s="1"/>
      <c r="B157" s="22"/>
      <c r="C157" s="1"/>
    </row>
    <row r="158" ht="15.75" customHeight="1">
      <c r="A158" s="1"/>
      <c r="B158" s="22"/>
      <c r="C158" s="1"/>
    </row>
    <row r="159" ht="15.75" customHeight="1">
      <c r="A159" s="1"/>
      <c r="B159" s="22"/>
      <c r="C159" s="1"/>
    </row>
    <row r="160" ht="15.75" customHeight="1">
      <c r="A160" s="1"/>
      <c r="B160" s="22"/>
      <c r="C160" s="1"/>
    </row>
    <row r="161" ht="15.75" customHeight="1">
      <c r="A161" s="1"/>
      <c r="B161" s="22"/>
      <c r="C161" s="1"/>
    </row>
    <row r="162" ht="15.75" customHeight="1">
      <c r="A162" s="1"/>
      <c r="B162" s="22"/>
      <c r="C162" s="1"/>
    </row>
    <row r="163" ht="15.75" customHeight="1">
      <c r="A163" s="1"/>
      <c r="B163" s="22"/>
      <c r="C163" s="1"/>
    </row>
    <row r="164" ht="15.75" customHeight="1">
      <c r="A164" s="1"/>
      <c r="B164" s="22"/>
      <c r="C164" s="1"/>
    </row>
    <row r="165" ht="15.75" customHeight="1">
      <c r="A165" s="1"/>
      <c r="B165" s="22"/>
      <c r="C165" s="1"/>
    </row>
    <row r="166" ht="15.75" customHeight="1">
      <c r="A166" s="1"/>
      <c r="B166" s="22"/>
      <c r="C166" s="1"/>
    </row>
    <row r="167" ht="15.75" customHeight="1">
      <c r="A167" s="1"/>
      <c r="B167" s="22"/>
      <c r="C167" s="1"/>
    </row>
    <row r="168" ht="15.75" customHeight="1">
      <c r="A168" s="1"/>
      <c r="B168" s="22"/>
      <c r="C168" s="1"/>
    </row>
    <row r="169" ht="15.75" customHeight="1">
      <c r="A169" s="1"/>
      <c r="B169" s="22"/>
      <c r="C169" s="1"/>
    </row>
    <row r="170" ht="15.75" customHeight="1">
      <c r="A170" s="1"/>
      <c r="B170" s="22"/>
      <c r="C170" s="1"/>
    </row>
    <row r="171" ht="15.75" customHeight="1">
      <c r="A171" s="1"/>
      <c r="B171" s="22"/>
      <c r="C171" s="1"/>
    </row>
    <row r="172" ht="15.75" customHeight="1">
      <c r="A172" s="1"/>
      <c r="B172" s="22"/>
      <c r="C172" s="1"/>
    </row>
    <row r="173" ht="15.75" customHeight="1">
      <c r="A173" s="1"/>
      <c r="C173" s="1"/>
    </row>
    <row r="174" ht="15.75" customHeight="1">
      <c r="A174" s="1"/>
      <c r="C174" s="1"/>
    </row>
    <row r="175" ht="15.75" customHeight="1">
      <c r="A175" s="1"/>
      <c r="C175" s="1"/>
    </row>
    <row r="176" ht="15.75" customHeight="1">
      <c r="A176" s="1"/>
      <c r="C176" s="1"/>
    </row>
    <row r="177" ht="15.75" customHeight="1">
      <c r="A177" s="1"/>
      <c r="C177" s="1"/>
    </row>
    <row r="178" ht="15.75" customHeight="1">
      <c r="A178" s="1"/>
      <c r="C178" s="1"/>
    </row>
    <row r="179" ht="15.75" customHeight="1">
      <c r="A179" s="1"/>
      <c r="C179" s="1"/>
    </row>
    <row r="180" ht="15.75" customHeight="1">
      <c r="A180" s="1"/>
      <c r="C180" s="1"/>
    </row>
    <row r="181" ht="15.75" customHeight="1">
      <c r="A181" s="1"/>
      <c r="C181" s="1"/>
    </row>
    <row r="182" ht="15.75" customHeight="1">
      <c r="A182" s="1"/>
      <c r="C182" s="1"/>
    </row>
    <row r="183" ht="15.75" customHeight="1">
      <c r="A183" s="1"/>
      <c r="C183" s="1"/>
    </row>
    <row r="184" ht="15.75" customHeight="1">
      <c r="A184" s="1"/>
      <c r="C184" s="1"/>
    </row>
    <row r="185" ht="15.75" customHeight="1">
      <c r="A185" s="1"/>
      <c r="C185" s="1"/>
    </row>
    <row r="186" ht="15.75" customHeight="1">
      <c r="A186" s="1"/>
      <c r="C186" s="1"/>
    </row>
    <row r="187" ht="15.75" customHeight="1">
      <c r="A187" s="1"/>
      <c r="C187" s="1"/>
    </row>
    <row r="188" ht="15.75" customHeight="1">
      <c r="A188" s="1"/>
      <c r="C188" s="1"/>
    </row>
    <row r="189" ht="15.75" customHeight="1">
      <c r="A189" s="1"/>
      <c r="C189" s="1"/>
    </row>
    <row r="190" ht="15.75" customHeight="1">
      <c r="A190" s="1"/>
      <c r="C190" s="1"/>
    </row>
    <row r="191" ht="15.75" customHeight="1">
      <c r="A191" s="1"/>
      <c r="C191" s="1"/>
    </row>
    <row r="192" ht="15.75" customHeight="1">
      <c r="A192" s="1"/>
      <c r="C192" s="1"/>
    </row>
    <row r="193" ht="15.75" customHeight="1">
      <c r="A193" s="1"/>
      <c r="C193" s="1"/>
    </row>
    <row r="194" ht="15.75" customHeight="1">
      <c r="A194" s="1"/>
      <c r="C194" s="1"/>
    </row>
    <row r="195" ht="15.75" customHeight="1">
      <c r="A195" s="1"/>
      <c r="C195" s="1"/>
    </row>
    <row r="196" ht="15.75" customHeight="1">
      <c r="A196" s="1"/>
      <c r="C196" s="1"/>
    </row>
    <row r="197" ht="15.75" customHeight="1">
      <c r="A197" s="1"/>
      <c r="C197" s="1"/>
    </row>
    <row r="198" ht="15.75" customHeight="1">
      <c r="A198" s="1"/>
      <c r="C198" s="1"/>
    </row>
    <row r="199" ht="15.75" customHeight="1">
      <c r="A199" s="1"/>
      <c r="C199" s="1"/>
    </row>
    <row r="200" ht="15.75" customHeight="1">
      <c r="A200" s="1"/>
      <c r="C200" s="1"/>
    </row>
    <row r="201" ht="15.75" customHeight="1">
      <c r="A201" s="1"/>
      <c r="C201" s="1"/>
    </row>
    <row r="202" ht="15.75" customHeight="1">
      <c r="A202" s="1"/>
      <c r="C202" s="1"/>
    </row>
    <row r="203" ht="15.75" customHeight="1">
      <c r="A203" s="1"/>
      <c r="C203" s="1"/>
    </row>
    <row r="204" ht="15.75" customHeight="1">
      <c r="A204" s="1"/>
      <c r="C204" s="1"/>
    </row>
    <row r="205" ht="15.75" customHeight="1">
      <c r="A205" s="1"/>
      <c r="C205" s="1"/>
    </row>
    <row r="206" ht="15.75" customHeight="1">
      <c r="A206" s="1"/>
      <c r="C206" s="1"/>
    </row>
    <row r="207" ht="15.75" customHeight="1">
      <c r="A207" s="1"/>
      <c r="C207" s="1"/>
    </row>
    <row r="208" ht="15.75" customHeight="1">
      <c r="A208" s="1"/>
      <c r="C208" s="1"/>
    </row>
    <row r="209" ht="15.75" customHeight="1">
      <c r="A209" s="1"/>
      <c r="C209" s="1"/>
    </row>
    <row r="210" ht="15.75" customHeight="1">
      <c r="A210" s="1"/>
      <c r="C210" s="1"/>
    </row>
    <row r="211" ht="15.75" customHeight="1">
      <c r="A211" s="1"/>
      <c r="C211" s="1"/>
    </row>
    <row r="212" ht="15.75" customHeight="1">
      <c r="A212" s="1"/>
      <c r="C212" s="1"/>
    </row>
    <row r="213" ht="15.75" customHeight="1">
      <c r="A213" s="1"/>
      <c r="C213" s="1"/>
    </row>
    <row r="214" ht="15.75" customHeight="1">
      <c r="A214" s="1"/>
      <c r="C214" s="1"/>
    </row>
    <row r="215" ht="15.75" customHeight="1">
      <c r="A215" s="1"/>
      <c r="C215" s="1"/>
    </row>
    <row r="216" ht="15.75" customHeight="1">
      <c r="A216" s="1"/>
      <c r="C216" s="1"/>
    </row>
    <row r="217" ht="15.75" customHeight="1">
      <c r="A217" s="1"/>
      <c r="C217" s="1"/>
    </row>
    <row r="218" ht="15.75" customHeight="1">
      <c r="A218" s="1"/>
      <c r="C218" s="1"/>
    </row>
    <row r="219" ht="15.75" customHeight="1">
      <c r="A219" s="1"/>
      <c r="C219" s="1"/>
    </row>
    <row r="220" ht="15.75" customHeight="1">
      <c r="A220" s="1"/>
      <c r="C220" s="1"/>
    </row>
    <row r="221" ht="15.75" customHeight="1">
      <c r="A221" s="1"/>
      <c r="C221" s="1"/>
    </row>
    <row r="222" ht="15.75" customHeight="1">
      <c r="A222" s="1"/>
      <c r="C222" s="1"/>
    </row>
    <row r="223" ht="15.75" customHeight="1">
      <c r="A223" s="1"/>
      <c r="C223" s="1"/>
    </row>
    <row r="224" ht="15.75" customHeight="1">
      <c r="A224" s="1"/>
      <c r="C224" s="1"/>
    </row>
    <row r="225" ht="15.75" customHeight="1">
      <c r="A225" s="1"/>
      <c r="C225" s="1"/>
    </row>
    <row r="226" ht="15.75" customHeight="1">
      <c r="A226" s="1"/>
      <c r="C226" s="1"/>
    </row>
    <row r="227" ht="15.75" customHeight="1">
      <c r="A227" s="1"/>
      <c r="C227" s="1"/>
    </row>
    <row r="228" ht="15.75" customHeight="1">
      <c r="A228" s="1"/>
      <c r="C228" s="1"/>
    </row>
    <row r="229" ht="15.75" customHeight="1">
      <c r="A229" s="1"/>
      <c r="C229" s="1"/>
    </row>
    <row r="230" ht="15.75" customHeight="1">
      <c r="A230" s="1"/>
      <c r="C230" s="1"/>
    </row>
    <row r="231" ht="15.75" customHeight="1">
      <c r="A231" s="1"/>
      <c r="C231" s="1"/>
    </row>
    <row r="232" ht="15.75" customHeight="1">
      <c r="A232" s="1"/>
      <c r="C232" s="1"/>
    </row>
    <row r="233" ht="15.75" customHeight="1">
      <c r="A233" s="1"/>
      <c r="C233" s="1"/>
    </row>
    <row r="234" ht="15.75" customHeight="1">
      <c r="A234" s="1"/>
      <c r="C234" s="1"/>
    </row>
    <row r="235" ht="15.75" customHeight="1">
      <c r="A235" s="1"/>
      <c r="C235" s="1"/>
    </row>
    <row r="236" ht="15.75" customHeight="1">
      <c r="A236" s="1"/>
      <c r="C236" s="1"/>
    </row>
    <row r="237" ht="15.75" customHeight="1">
      <c r="A237" s="1"/>
      <c r="C237" s="1"/>
    </row>
    <row r="238" ht="15.75" customHeight="1">
      <c r="A238" s="1"/>
      <c r="C238" s="1"/>
    </row>
    <row r="239" ht="15.75" customHeight="1">
      <c r="A239" s="1"/>
      <c r="C239" s="1"/>
    </row>
    <row r="240" ht="15.75" customHeight="1">
      <c r="A240" s="1"/>
      <c r="C240" s="1"/>
    </row>
    <row r="241" ht="15.75" customHeight="1">
      <c r="A241" s="1"/>
      <c r="C241" s="1"/>
    </row>
    <row r="242" ht="15.75" customHeight="1">
      <c r="A242" s="1"/>
      <c r="C242" s="1"/>
    </row>
    <row r="243" ht="15.75" customHeight="1">
      <c r="A243" s="1"/>
      <c r="C243" s="1"/>
    </row>
    <row r="244" ht="15.75" customHeight="1">
      <c r="A244" s="1"/>
      <c r="C244" s="1"/>
    </row>
    <row r="245" ht="15.75" customHeight="1">
      <c r="A245" s="1"/>
      <c r="C245" s="1"/>
    </row>
    <row r="246" ht="15.75" customHeight="1">
      <c r="A246" s="1"/>
      <c r="C246" s="1"/>
    </row>
    <row r="247" ht="15.75" customHeight="1">
      <c r="A247" s="1"/>
      <c r="C247" s="1"/>
    </row>
    <row r="248" ht="15.75" customHeight="1">
      <c r="A248" s="1"/>
      <c r="C248" s="1"/>
    </row>
    <row r="249" ht="15.75" customHeight="1">
      <c r="A249" s="1"/>
      <c r="C249" s="1"/>
    </row>
    <row r="250" ht="15.75" customHeight="1">
      <c r="A250" s="1"/>
      <c r="C250" s="1"/>
    </row>
    <row r="251" ht="15.75" customHeight="1">
      <c r="A251" s="1"/>
      <c r="C251" s="1"/>
    </row>
    <row r="252" ht="15.75" customHeight="1">
      <c r="A252" s="1"/>
      <c r="C252" s="1"/>
    </row>
    <row r="253" ht="15.75" customHeight="1">
      <c r="A253" s="1"/>
      <c r="C253" s="1"/>
    </row>
    <row r="254" ht="15.75" customHeight="1">
      <c r="A254" s="1"/>
      <c r="C254" s="1"/>
    </row>
    <row r="255" ht="15.75" customHeight="1">
      <c r="A255" s="1"/>
      <c r="C255" s="1"/>
    </row>
    <row r="256" ht="15.75" customHeight="1">
      <c r="A256" s="1"/>
      <c r="C256" s="1"/>
    </row>
    <row r="257" ht="15.75" customHeight="1">
      <c r="A257" s="1"/>
      <c r="C257" s="1"/>
    </row>
    <row r="258" ht="15.75" customHeight="1">
      <c r="A258" s="1"/>
      <c r="C258" s="1"/>
    </row>
    <row r="259" ht="15.75" customHeight="1">
      <c r="A259" s="1"/>
      <c r="C259" s="1"/>
    </row>
    <row r="260" ht="15.75" customHeight="1">
      <c r="A260" s="1"/>
      <c r="C260" s="1"/>
    </row>
    <row r="261" ht="15.75" customHeight="1">
      <c r="A261" s="1"/>
      <c r="C261" s="1"/>
    </row>
    <row r="262" ht="15.75" customHeight="1">
      <c r="A262" s="1"/>
      <c r="C262" s="1"/>
    </row>
    <row r="263" ht="15.75" customHeight="1">
      <c r="A263" s="1"/>
      <c r="C263" s="1"/>
    </row>
    <row r="264" ht="15.75" customHeight="1">
      <c r="A264" s="1"/>
      <c r="C264" s="1"/>
    </row>
    <row r="265" ht="15.75" customHeight="1">
      <c r="A265" s="1"/>
      <c r="C265" s="1"/>
    </row>
    <row r="266" ht="15.75" customHeight="1">
      <c r="A266" s="1"/>
      <c r="C266" s="1"/>
    </row>
    <row r="267" ht="15.75" customHeight="1">
      <c r="A267" s="1"/>
      <c r="C267" s="1"/>
    </row>
    <row r="268" ht="15.75" customHeight="1">
      <c r="A268" s="1"/>
      <c r="C268" s="1"/>
    </row>
    <row r="269" ht="15.75" customHeight="1">
      <c r="A269" s="1"/>
      <c r="C269" s="1"/>
    </row>
    <row r="270" ht="15.75" customHeight="1">
      <c r="A270" s="1"/>
      <c r="C270" s="1"/>
    </row>
    <row r="271" ht="15.75" customHeight="1">
      <c r="A271" s="1"/>
      <c r="C271" s="1"/>
    </row>
    <row r="272" ht="15.75" customHeight="1">
      <c r="A272" s="1"/>
      <c r="C272" s="1"/>
    </row>
    <row r="273" ht="15.75" customHeight="1">
      <c r="A273" s="1"/>
      <c r="C273" s="1"/>
    </row>
    <row r="274" ht="15.75" customHeight="1">
      <c r="A274" s="1"/>
      <c r="C274" s="1"/>
    </row>
    <row r="275" ht="15.75" customHeight="1">
      <c r="A275" s="1"/>
      <c r="C275" s="1"/>
    </row>
    <row r="276" ht="15.75" customHeight="1">
      <c r="A276" s="1"/>
      <c r="C276" s="1"/>
    </row>
    <row r="277" ht="15.75" customHeight="1">
      <c r="A277" s="1"/>
      <c r="C277" s="1"/>
    </row>
    <row r="278" ht="15.75" customHeight="1">
      <c r="A278" s="1"/>
      <c r="C278" s="1"/>
    </row>
    <row r="279" ht="15.75" customHeight="1">
      <c r="A279" s="1"/>
      <c r="C279" s="1"/>
    </row>
    <row r="280" ht="15.75" customHeight="1">
      <c r="A280" s="1"/>
      <c r="C280" s="1"/>
    </row>
    <row r="281" ht="15.75" customHeight="1">
      <c r="A281" s="1"/>
      <c r="C281" s="1"/>
    </row>
    <row r="282" ht="15.75" customHeight="1">
      <c r="A282" s="1"/>
      <c r="C282" s="1"/>
    </row>
    <row r="283" ht="15.75" customHeight="1">
      <c r="A283" s="1"/>
      <c r="C283" s="1"/>
    </row>
    <row r="284" ht="15.75" customHeight="1">
      <c r="A284" s="1"/>
      <c r="C284" s="1"/>
    </row>
    <row r="285" ht="15.75" customHeight="1">
      <c r="A285" s="1"/>
      <c r="C285" s="1"/>
    </row>
    <row r="286" ht="15.75" customHeight="1">
      <c r="A286" s="1"/>
      <c r="C286" s="1"/>
    </row>
    <row r="287" ht="15.75" customHeight="1">
      <c r="A287" s="1"/>
      <c r="C287" s="1"/>
    </row>
    <row r="288" ht="15.75" customHeight="1">
      <c r="A288" s="1"/>
      <c r="C288" s="1"/>
    </row>
    <row r="289" ht="15.75" customHeight="1">
      <c r="A289" s="1"/>
      <c r="C289" s="1"/>
    </row>
    <row r="290" ht="15.75" customHeight="1">
      <c r="A290" s="1"/>
      <c r="C290" s="1"/>
    </row>
    <row r="291" ht="15.75" customHeight="1">
      <c r="A291" s="1"/>
      <c r="C291" s="1"/>
    </row>
    <row r="292" ht="15.75" customHeight="1">
      <c r="A292" s="1"/>
      <c r="C292" s="1"/>
    </row>
    <row r="293" ht="15.75" customHeight="1">
      <c r="A293" s="1"/>
      <c r="C293" s="1"/>
    </row>
    <row r="294" ht="15.75" customHeight="1">
      <c r="A294" s="1"/>
      <c r="C294" s="1"/>
    </row>
    <row r="295" ht="15.75" customHeight="1">
      <c r="A295" s="1"/>
      <c r="C295" s="1"/>
    </row>
    <row r="296" ht="15.75" customHeight="1">
      <c r="A296" s="1"/>
      <c r="C296" s="1"/>
    </row>
    <row r="297" ht="15.75" customHeight="1">
      <c r="A297" s="1"/>
      <c r="C297" s="1"/>
    </row>
    <row r="298" ht="15.75" customHeight="1">
      <c r="A298" s="1"/>
      <c r="C298" s="1"/>
    </row>
    <row r="299" ht="15.75" customHeight="1">
      <c r="A299" s="1"/>
      <c r="C299" s="1"/>
    </row>
    <row r="300" ht="15.75" customHeight="1">
      <c r="A300" s="1"/>
      <c r="C300" s="1"/>
    </row>
    <row r="301" ht="15.75" customHeight="1">
      <c r="A301" s="1"/>
      <c r="C301" s="1"/>
    </row>
    <row r="302" ht="15.75" customHeight="1">
      <c r="A302" s="1"/>
      <c r="C302" s="1"/>
    </row>
    <row r="303" ht="15.75" customHeight="1">
      <c r="A303" s="1"/>
      <c r="C303" s="1"/>
    </row>
    <row r="304" ht="15.75" customHeight="1">
      <c r="A304" s="1"/>
      <c r="C304" s="1"/>
    </row>
    <row r="305" ht="15.75" customHeight="1">
      <c r="A305" s="1"/>
      <c r="C305" s="1"/>
    </row>
    <row r="306" ht="15.75" customHeight="1">
      <c r="A306" s="1"/>
      <c r="C306" s="1"/>
    </row>
    <row r="307" ht="15.75" customHeight="1">
      <c r="A307" s="1"/>
      <c r="C307" s="1"/>
    </row>
    <row r="308" ht="15.75" customHeight="1">
      <c r="A308" s="1"/>
      <c r="C308" s="1"/>
    </row>
    <row r="309" ht="15.75" customHeight="1">
      <c r="A309" s="1"/>
      <c r="C309" s="1"/>
    </row>
    <row r="310" ht="15.75" customHeight="1">
      <c r="A310" s="1"/>
      <c r="C310" s="1"/>
    </row>
    <row r="311" ht="15.75" customHeight="1">
      <c r="A311" s="1"/>
      <c r="C311" s="1"/>
    </row>
    <row r="312" ht="15.75" customHeight="1">
      <c r="A312" s="1"/>
      <c r="C312" s="1"/>
    </row>
    <row r="313" ht="15.75" customHeight="1">
      <c r="A313" s="1"/>
      <c r="C313" s="1"/>
    </row>
    <row r="314" ht="15.75" customHeight="1">
      <c r="A314" s="1"/>
      <c r="C314" s="1"/>
    </row>
    <row r="315" ht="15.75" customHeight="1">
      <c r="A315" s="1"/>
      <c r="C315" s="1"/>
    </row>
    <row r="316" ht="15.75" customHeight="1">
      <c r="A316" s="1"/>
      <c r="C316" s="1"/>
    </row>
    <row r="317" ht="15.75" customHeight="1">
      <c r="A317" s="1"/>
      <c r="C317" s="1"/>
    </row>
    <row r="318" ht="15.75" customHeight="1">
      <c r="A318" s="1"/>
      <c r="C318" s="1"/>
    </row>
    <row r="319" ht="15.75" customHeight="1">
      <c r="A319" s="1"/>
      <c r="C319" s="1"/>
    </row>
    <row r="320" ht="15.75" customHeight="1">
      <c r="A320" s="1"/>
      <c r="C320" s="1"/>
    </row>
    <row r="321" ht="15.75" customHeight="1">
      <c r="A321" s="1"/>
      <c r="C321" s="1"/>
    </row>
    <row r="322" ht="15.75" customHeight="1">
      <c r="A322" s="1"/>
      <c r="C322" s="1"/>
    </row>
    <row r="323" ht="15.75" customHeight="1">
      <c r="A323" s="1"/>
      <c r="C323" s="1"/>
    </row>
    <row r="324" ht="15.75" customHeight="1">
      <c r="A324" s="1"/>
      <c r="C324" s="1"/>
    </row>
    <row r="325" ht="15.75" customHeight="1">
      <c r="A325" s="1"/>
      <c r="C325" s="1"/>
    </row>
    <row r="326" ht="15.75" customHeight="1">
      <c r="A326" s="1"/>
      <c r="C326" s="1"/>
    </row>
    <row r="327" ht="15.75" customHeight="1">
      <c r="A327" s="1"/>
      <c r="C327" s="1"/>
    </row>
    <row r="328" ht="15.75" customHeight="1">
      <c r="A328" s="1"/>
      <c r="C328" s="1"/>
    </row>
    <row r="329" ht="15.75" customHeight="1">
      <c r="A329" s="1"/>
      <c r="C329" s="1"/>
    </row>
    <row r="330" ht="15.75" customHeight="1">
      <c r="A330" s="1"/>
      <c r="C330" s="1"/>
    </row>
    <row r="331" ht="15.75" customHeight="1">
      <c r="A331" s="1"/>
      <c r="C331" s="1"/>
    </row>
    <row r="332" ht="15.75" customHeight="1">
      <c r="A332" s="1"/>
      <c r="C332" s="1"/>
    </row>
    <row r="333" ht="15.75" customHeight="1">
      <c r="A333" s="1"/>
      <c r="C333" s="1"/>
    </row>
    <row r="334" ht="15.75" customHeight="1">
      <c r="A334" s="1"/>
      <c r="C334" s="1"/>
    </row>
    <row r="335" ht="15.75" customHeight="1">
      <c r="A335" s="1"/>
      <c r="C335" s="1"/>
    </row>
    <row r="336" ht="15.75" customHeight="1">
      <c r="A336" s="1"/>
      <c r="C336" s="1"/>
    </row>
    <row r="337" ht="15.75" customHeight="1">
      <c r="A337" s="1"/>
      <c r="C337" s="1"/>
    </row>
    <row r="338" ht="15.75" customHeight="1">
      <c r="A338" s="1"/>
      <c r="C338" s="1"/>
    </row>
    <row r="339" ht="15.75" customHeight="1">
      <c r="A339" s="1"/>
      <c r="C339" s="1"/>
    </row>
    <row r="340" ht="15.75" customHeight="1">
      <c r="A340" s="1"/>
      <c r="C340" s="1"/>
    </row>
    <row r="341" ht="15.75" customHeight="1">
      <c r="A341" s="1"/>
      <c r="C341" s="1"/>
    </row>
    <row r="342" ht="15.75" customHeight="1">
      <c r="A342" s="1"/>
      <c r="C342" s="1"/>
    </row>
    <row r="343" ht="15.75" customHeight="1">
      <c r="A343" s="1"/>
      <c r="C343" s="1"/>
    </row>
    <row r="344" ht="15.75" customHeight="1">
      <c r="A344" s="1"/>
      <c r="C344" s="1"/>
    </row>
    <row r="345" ht="15.75" customHeight="1">
      <c r="A345" s="1"/>
      <c r="C345" s="1"/>
    </row>
    <row r="346" ht="15.75" customHeight="1">
      <c r="A346" s="1"/>
      <c r="C346" s="1"/>
    </row>
    <row r="347" ht="15.75" customHeight="1">
      <c r="A347" s="1"/>
      <c r="C347" s="1"/>
    </row>
    <row r="348" ht="15.75" customHeight="1">
      <c r="A348" s="1"/>
      <c r="C348" s="1"/>
    </row>
    <row r="349" ht="15.75" customHeight="1">
      <c r="A349" s="1"/>
      <c r="C349" s="1"/>
    </row>
    <row r="350" ht="15.75" customHeight="1">
      <c r="A350" s="1"/>
      <c r="C350" s="1"/>
    </row>
    <row r="351" ht="15.75" customHeight="1">
      <c r="A351" s="1"/>
      <c r="C351" s="1"/>
    </row>
    <row r="352" ht="15.75" customHeight="1">
      <c r="A352" s="1"/>
      <c r="C352" s="1"/>
    </row>
    <row r="353" ht="15.75" customHeight="1">
      <c r="A353" s="1"/>
      <c r="C353" s="1"/>
    </row>
    <row r="354" ht="15.75" customHeight="1">
      <c r="A354" s="1"/>
      <c r="C354" s="1"/>
    </row>
    <row r="355" ht="15.75" customHeight="1">
      <c r="A355" s="1"/>
      <c r="C355" s="1"/>
    </row>
    <row r="356" ht="15.75" customHeight="1">
      <c r="A356" s="1"/>
      <c r="C356" s="1"/>
    </row>
    <row r="357" ht="15.75" customHeight="1">
      <c r="A357" s="1"/>
      <c r="C357" s="1"/>
    </row>
    <row r="358" ht="15.75" customHeight="1">
      <c r="A358" s="1"/>
      <c r="C358" s="1"/>
    </row>
    <row r="359" ht="15.75" customHeight="1">
      <c r="A359" s="1"/>
      <c r="C359" s="1"/>
    </row>
    <row r="360" ht="15.75" customHeight="1">
      <c r="A360" s="1"/>
      <c r="C360" s="1"/>
    </row>
    <row r="361" ht="15.75" customHeight="1">
      <c r="A361" s="1"/>
      <c r="C361" s="1"/>
    </row>
    <row r="362" ht="15.75" customHeight="1">
      <c r="A362" s="1"/>
      <c r="C362" s="1"/>
    </row>
    <row r="363" ht="15.75" customHeight="1">
      <c r="A363" s="1"/>
      <c r="C363" s="1"/>
    </row>
    <row r="364" ht="15.75" customHeight="1">
      <c r="A364" s="1"/>
      <c r="C364" s="1"/>
    </row>
    <row r="365" ht="15.75" customHeight="1">
      <c r="A365" s="1"/>
      <c r="C365" s="1"/>
    </row>
    <row r="366" ht="15.75" customHeight="1">
      <c r="A366" s="1"/>
      <c r="C366" s="1"/>
    </row>
    <row r="367" ht="15.75" customHeight="1">
      <c r="A367" s="1"/>
      <c r="C367" s="1"/>
    </row>
    <row r="368" ht="15.75" customHeight="1">
      <c r="A368" s="1"/>
      <c r="C368" s="1"/>
    </row>
    <row r="369" ht="15.75" customHeight="1">
      <c r="A369" s="1"/>
      <c r="C369" s="1"/>
    </row>
    <row r="370" ht="15.75" customHeight="1">
      <c r="A370" s="1"/>
      <c r="C370" s="1"/>
    </row>
    <row r="371" ht="15.75" customHeight="1">
      <c r="A371" s="1"/>
      <c r="C371" s="1"/>
    </row>
    <row r="372" ht="15.75" customHeight="1">
      <c r="A372" s="1"/>
      <c r="C372" s="1"/>
    </row>
    <row r="373" ht="15.75" customHeight="1">
      <c r="A373" s="1"/>
      <c r="C373" s="1"/>
    </row>
    <row r="374" ht="15.75" customHeight="1">
      <c r="A374" s="1"/>
      <c r="C374" s="1"/>
    </row>
    <row r="375" ht="15.75" customHeight="1">
      <c r="A375" s="1"/>
      <c r="C375" s="1"/>
    </row>
    <row r="376" ht="15.75" customHeight="1">
      <c r="A376" s="1"/>
      <c r="C376" s="1"/>
    </row>
    <row r="377" ht="15.75" customHeight="1">
      <c r="A377" s="1"/>
      <c r="C377" s="1"/>
    </row>
    <row r="378" ht="15.75" customHeight="1">
      <c r="A378" s="1"/>
      <c r="C378" s="1"/>
    </row>
    <row r="379" ht="15.75" customHeight="1">
      <c r="A379" s="1"/>
      <c r="C379" s="1"/>
    </row>
    <row r="380" ht="15.75" customHeight="1">
      <c r="A380" s="1"/>
      <c r="C380" s="1"/>
    </row>
    <row r="381" ht="15.75" customHeight="1">
      <c r="A381" s="1"/>
      <c r="C381" s="1"/>
    </row>
    <row r="382" ht="15.75" customHeight="1">
      <c r="A382" s="1"/>
      <c r="C382" s="1"/>
    </row>
    <row r="383" ht="15.75" customHeight="1">
      <c r="A383" s="1"/>
      <c r="C383" s="1"/>
    </row>
    <row r="384" ht="15.75" customHeight="1">
      <c r="A384" s="1"/>
      <c r="C384" s="1"/>
    </row>
    <row r="385" ht="15.75" customHeight="1">
      <c r="A385" s="1"/>
      <c r="C385" s="1"/>
    </row>
    <row r="386" ht="15.75" customHeight="1">
      <c r="A386" s="1"/>
      <c r="C386" s="1"/>
    </row>
    <row r="387" ht="15.75" customHeight="1">
      <c r="A387" s="1"/>
      <c r="C387" s="1"/>
    </row>
    <row r="388" ht="15.75" customHeight="1">
      <c r="A388" s="1"/>
      <c r="C388" s="1"/>
    </row>
    <row r="389" ht="15.75" customHeight="1">
      <c r="A389" s="1"/>
      <c r="C389" s="1"/>
    </row>
    <row r="390" ht="15.75" customHeight="1">
      <c r="A390" s="1"/>
      <c r="C390" s="1"/>
    </row>
    <row r="391" ht="15.75" customHeight="1">
      <c r="A391" s="1"/>
      <c r="C391" s="1"/>
    </row>
    <row r="392" ht="15.75" customHeight="1">
      <c r="A392" s="1"/>
      <c r="C392" s="1"/>
    </row>
    <row r="393" ht="15.75" customHeight="1">
      <c r="A393" s="1"/>
      <c r="C393" s="1"/>
    </row>
    <row r="394" ht="15.75" customHeight="1">
      <c r="A394" s="1"/>
      <c r="C394" s="1"/>
    </row>
    <row r="395" ht="15.75" customHeight="1">
      <c r="A395" s="1"/>
      <c r="C395" s="1"/>
    </row>
    <row r="396" ht="15.75" customHeight="1">
      <c r="A396" s="1"/>
      <c r="C396" s="1"/>
    </row>
    <row r="397" ht="15.75" customHeight="1">
      <c r="A397" s="1"/>
      <c r="C397" s="1"/>
    </row>
    <row r="398" ht="15.75" customHeight="1">
      <c r="A398" s="1"/>
      <c r="C398" s="1"/>
    </row>
    <row r="399" ht="15.75" customHeight="1">
      <c r="A399" s="1"/>
      <c r="C399" s="1"/>
    </row>
    <row r="400" ht="15.75" customHeight="1">
      <c r="A400" s="1"/>
      <c r="C400" s="1"/>
    </row>
    <row r="401" ht="15.75" customHeight="1">
      <c r="A401" s="1"/>
      <c r="C401" s="1"/>
    </row>
    <row r="402" ht="15.75" customHeight="1">
      <c r="A402" s="1"/>
      <c r="C402" s="1"/>
    </row>
    <row r="403" ht="15.75" customHeight="1">
      <c r="A403" s="1"/>
      <c r="C403" s="1"/>
    </row>
    <row r="404" ht="15.75" customHeight="1">
      <c r="A404" s="1"/>
      <c r="C404" s="1"/>
    </row>
    <row r="405" ht="15.75" customHeight="1">
      <c r="A405" s="1"/>
      <c r="C405" s="1"/>
    </row>
    <row r="406" ht="15.75" customHeight="1">
      <c r="A406" s="1"/>
      <c r="C406" s="1"/>
    </row>
    <row r="407" ht="15.75" customHeight="1">
      <c r="A407" s="1"/>
      <c r="C407" s="1"/>
    </row>
    <row r="408" ht="15.75" customHeight="1">
      <c r="A408" s="1"/>
      <c r="C408" s="1"/>
    </row>
    <row r="409" ht="15.75" customHeight="1">
      <c r="A409" s="1"/>
      <c r="C409" s="1"/>
    </row>
    <row r="410" ht="15.75" customHeight="1">
      <c r="A410" s="1"/>
      <c r="C410" s="1"/>
    </row>
    <row r="411" ht="15.75" customHeight="1">
      <c r="A411" s="1"/>
      <c r="C411" s="1"/>
    </row>
    <row r="412" ht="15.75" customHeight="1">
      <c r="A412" s="1"/>
      <c r="C412" s="1"/>
    </row>
    <row r="413" ht="15.75" customHeight="1">
      <c r="A413" s="1"/>
      <c r="C413" s="1"/>
    </row>
    <row r="414" ht="15.75" customHeight="1">
      <c r="A414" s="1"/>
      <c r="C414" s="1"/>
    </row>
    <row r="415" ht="15.75" customHeight="1">
      <c r="A415" s="1"/>
      <c r="C415" s="1"/>
    </row>
    <row r="416" ht="15.75" customHeight="1">
      <c r="A416" s="1"/>
      <c r="C416" s="1"/>
    </row>
    <row r="417" ht="15.75" customHeight="1">
      <c r="A417" s="1"/>
      <c r="C417" s="1"/>
    </row>
    <row r="418" ht="15.75" customHeight="1">
      <c r="A418" s="1"/>
      <c r="C418" s="1"/>
    </row>
    <row r="419" ht="15.75" customHeight="1">
      <c r="A419" s="1"/>
      <c r="C419" s="1"/>
    </row>
    <row r="420" ht="15.75" customHeight="1">
      <c r="A420" s="1"/>
      <c r="C420" s="1"/>
    </row>
    <row r="421" ht="15.75" customHeight="1">
      <c r="A421" s="1"/>
      <c r="C421" s="1"/>
    </row>
    <row r="422" ht="15.75" customHeight="1">
      <c r="A422" s="1"/>
      <c r="C422" s="1"/>
    </row>
    <row r="423" ht="15.75" customHeight="1">
      <c r="A423" s="1"/>
      <c r="C423" s="1"/>
    </row>
    <row r="424" ht="15.75" customHeight="1">
      <c r="A424" s="1"/>
      <c r="C424" s="1"/>
    </row>
    <row r="425" ht="15.75" customHeight="1">
      <c r="A425" s="1"/>
      <c r="C425" s="1"/>
    </row>
    <row r="426" ht="15.75" customHeight="1">
      <c r="A426" s="1"/>
      <c r="C426" s="1"/>
    </row>
    <row r="427" ht="15.75" customHeight="1">
      <c r="A427" s="1"/>
      <c r="C427" s="1"/>
    </row>
    <row r="428" ht="15.75" customHeight="1">
      <c r="A428" s="1"/>
      <c r="C428" s="1"/>
    </row>
    <row r="429" ht="15.75" customHeight="1">
      <c r="A429" s="1"/>
      <c r="C429" s="1"/>
    </row>
    <row r="430" ht="15.75" customHeight="1">
      <c r="A430" s="1"/>
      <c r="C430" s="1"/>
    </row>
    <row r="431" ht="15.75" customHeight="1">
      <c r="A431" s="1"/>
      <c r="C431" s="1"/>
    </row>
    <row r="432" ht="15.75" customHeight="1">
      <c r="A432" s="1"/>
      <c r="C432" s="1"/>
    </row>
    <row r="433" ht="15.75" customHeight="1">
      <c r="A433" s="1"/>
      <c r="C433" s="1"/>
    </row>
    <row r="434" ht="15.75" customHeight="1">
      <c r="A434" s="1"/>
      <c r="C434" s="1"/>
    </row>
    <row r="435" ht="15.75" customHeight="1">
      <c r="A435" s="1"/>
      <c r="C435" s="1"/>
    </row>
    <row r="436" ht="15.75" customHeight="1">
      <c r="A436" s="1"/>
      <c r="C436" s="1"/>
    </row>
    <row r="437" ht="15.75" customHeight="1">
      <c r="A437" s="1"/>
      <c r="C437" s="1"/>
    </row>
    <row r="438" ht="15.75" customHeight="1">
      <c r="A438" s="1"/>
      <c r="C438" s="1"/>
    </row>
    <row r="439" ht="15.75" customHeight="1">
      <c r="A439" s="1"/>
      <c r="C439" s="1"/>
    </row>
    <row r="440" ht="15.75" customHeight="1">
      <c r="A440" s="1"/>
      <c r="C440" s="1"/>
    </row>
    <row r="441" ht="15.75" customHeight="1">
      <c r="A441" s="1"/>
      <c r="C441" s="1"/>
    </row>
    <row r="442" ht="15.75" customHeight="1">
      <c r="A442" s="1"/>
      <c r="C442" s="1"/>
    </row>
    <row r="443" ht="15.75" customHeight="1">
      <c r="A443" s="1"/>
      <c r="C443" s="1"/>
    </row>
    <row r="444" ht="15.75" customHeight="1">
      <c r="A444" s="1"/>
      <c r="C444" s="1"/>
    </row>
    <row r="445" ht="15.75" customHeight="1">
      <c r="A445" s="1"/>
      <c r="C445" s="1"/>
    </row>
    <row r="446" ht="15.75" customHeight="1">
      <c r="A446" s="1"/>
      <c r="C446" s="1"/>
    </row>
    <row r="447" ht="15.75" customHeight="1">
      <c r="A447" s="1"/>
      <c r="C447" s="1"/>
    </row>
    <row r="448" ht="15.75" customHeight="1">
      <c r="A448" s="1"/>
      <c r="C448" s="1"/>
    </row>
    <row r="449" ht="15.75" customHeight="1">
      <c r="A449" s="1"/>
      <c r="C449" s="1"/>
    </row>
    <row r="450" ht="15.75" customHeight="1">
      <c r="A450" s="1"/>
      <c r="C450" s="1"/>
    </row>
    <row r="451" ht="15.75" customHeight="1">
      <c r="A451" s="1"/>
      <c r="C451" s="1"/>
    </row>
    <row r="452" ht="15.75" customHeight="1">
      <c r="A452" s="1"/>
      <c r="C452" s="1"/>
    </row>
    <row r="453" ht="15.75" customHeight="1">
      <c r="A453" s="1"/>
      <c r="C453" s="1"/>
    </row>
    <row r="454" ht="15.75" customHeight="1">
      <c r="A454" s="1"/>
      <c r="C454" s="1"/>
    </row>
    <row r="455" ht="15.75" customHeight="1">
      <c r="A455" s="1"/>
      <c r="C455" s="1"/>
    </row>
    <row r="456" ht="15.75" customHeight="1">
      <c r="A456" s="1"/>
      <c r="C456" s="1"/>
    </row>
    <row r="457" ht="15.75" customHeight="1">
      <c r="A457" s="1"/>
      <c r="C457" s="1"/>
    </row>
    <row r="458" ht="15.75" customHeight="1">
      <c r="A458" s="1"/>
      <c r="C458" s="1"/>
    </row>
    <row r="459" ht="15.75" customHeight="1">
      <c r="A459" s="1"/>
      <c r="C459" s="1"/>
    </row>
    <row r="460" ht="15.75" customHeight="1">
      <c r="A460" s="1"/>
      <c r="C460" s="1"/>
    </row>
    <row r="461" ht="15.75" customHeight="1">
      <c r="A461" s="1"/>
      <c r="C461" s="1"/>
    </row>
    <row r="462" ht="15.75" customHeight="1">
      <c r="A462" s="1"/>
      <c r="C462" s="1"/>
    </row>
    <row r="463" ht="15.75" customHeight="1">
      <c r="A463" s="1"/>
      <c r="C463" s="1"/>
    </row>
    <row r="464" ht="15.75" customHeight="1">
      <c r="A464" s="1"/>
      <c r="C464" s="1"/>
    </row>
    <row r="465" ht="15.75" customHeight="1">
      <c r="A465" s="1"/>
      <c r="C465" s="1"/>
    </row>
    <row r="466" ht="15.75" customHeight="1">
      <c r="A466" s="1"/>
      <c r="C466" s="1"/>
    </row>
    <row r="467" ht="15.75" customHeight="1">
      <c r="A467" s="1"/>
      <c r="C467" s="1"/>
    </row>
    <row r="468" ht="15.75" customHeight="1">
      <c r="A468" s="1"/>
      <c r="C468" s="1"/>
    </row>
    <row r="469" ht="15.75" customHeight="1">
      <c r="A469" s="1"/>
      <c r="C469" s="1"/>
    </row>
    <row r="470" ht="15.75" customHeight="1">
      <c r="A470" s="1"/>
      <c r="C470" s="1"/>
    </row>
    <row r="471" ht="15.75" customHeight="1">
      <c r="A471" s="1"/>
      <c r="C471" s="1"/>
    </row>
    <row r="472" ht="15.75" customHeight="1">
      <c r="A472" s="1"/>
      <c r="C472" s="1"/>
    </row>
    <row r="473" ht="15.75" customHeight="1">
      <c r="A473" s="1"/>
      <c r="C473" s="1"/>
    </row>
    <row r="474" ht="15.75" customHeight="1">
      <c r="A474" s="1"/>
      <c r="C474" s="1"/>
    </row>
    <row r="475" ht="15.75" customHeight="1">
      <c r="A475" s="1"/>
      <c r="C475" s="1"/>
    </row>
    <row r="476" ht="15.75" customHeight="1">
      <c r="A476" s="1"/>
      <c r="C476" s="1"/>
    </row>
    <row r="477" ht="15.75" customHeight="1">
      <c r="A477" s="1"/>
      <c r="C477" s="1"/>
    </row>
    <row r="478" ht="15.75" customHeight="1">
      <c r="A478" s="1"/>
      <c r="C478" s="1"/>
    </row>
    <row r="479" ht="15.75" customHeight="1">
      <c r="A479" s="1"/>
      <c r="C479" s="1"/>
    </row>
    <row r="480" ht="15.75" customHeight="1">
      <c r="A480" s="1"/>
      <c r="C480" s="1"/>
    </row>
    <row r="481" ht="15.75" customHeight="1">
      <c r="A481" s="1"/>
      <c r="C481" s="1"/>
    </row>
    <row r="482" ht="15.75" customHeight="1">
      <c r="A482" s="1"/>
      <c r="C482" s="1"/>
    </row>
    <row r="483" ht="15.75" customHeight="1">
      <c r="A483" s="1"/>
      <c r="C483" s="1"/>
    </row>
    <row r="484" ht="15.75" customHeight="1">
      <c r="A484" s="1"/>
      <c r="C484" s="1"/>
    </row>
    <row r="485" ht="15.75" customHeight="1">
      <c r="A485" s="1"/>
      <c r="C485" s="1"/>
    </row>
    <row r="486" ht="15.75" customHeight="1">
      <c r="A486" s="1"/>
      <c r="C486" s="1"/>
    </row>
    <row r="487" ht="15.75" customHeight="1">
      <c r="A487" s="1"/>
      <c r="C487" s="1"/>
    </row>
    <row r="488" ht="15.75" customHeight="1">
      <c r="A488" s="1"/>
      <c r="C488" s="1"/>
    </row>
    <row r="489" ht="15.75" customHeight="1">
      <c r="A489" s="1"/>
      <c r="C489" s="1"/>
    </row>
    <row r="490" ht="15.75" customHeight="1">
      <c r="A490" s="1"/>
      <c r="C490" s="1"/>
    </row>
    <row r="491" ht="15.75" customHeight="1">
      <c r="A491" s="1"/>
      <c r="C491" s="1"/>
    </row>
    <row r="492" ht="15.75" customHeight="1">
      <c r="A492" s="1"/>
      <c r="C492" s="1"/>
    </row>
    <row r="493" ht="15.75" customHeight="1">
      <c r="A493" s="1"/>
      <c r="C493" s="1"/>
    </row>
    <row r="494" ht="15.75" customHeight="1">
      <c r="A494" s="1"/>
      <c r="C494" s="1"/>
    </row>
    <row r="495" ht="15.75" customHeight="1">
      <c r="A495" s="1"/>
      <c r="C495" s="1"/>
    </row>
    <row r="496" ht="15.75" customHeight="1">
      <c r="A496" s="1"/>
      <c r="C496" s="1"/>
    </row>
    <row r="497" ht="15.75" customHeight="1">
      <c r="A497" s="1"/>
      <c r="C497" s="1"/>
    </row>
    <row r="498" ht="15.75" customHeight="1">
      <c r="A498" s="1"/>
      <c r="C498" s="1"/>
    </row>
    <row r="499" ht="15.75" customHeight="1">
      <c r="A499" s="1"/>
      <c r="C499" s="1"/>
    </row>
    <row r="500" ht="15.75" customHeight="1">
      <c r="A500" s="1"/>
      <c r="C500" s="1"/>
    </row>
    <row r="501" ht="15.75" customHeight="1">
      <c r="A501" s="1"/>
      <c r="C501" s="1"/>
    </row>
    <row r="502" ht="15.75" customHeight="1">
      <c r="A502" s="1"/>
      <c r="C502" s="1"/>
    </row>
    <row r="503" ht="15.75" customHeight="1">
      <c r="A503" s="1"/>
      <c r="C503" s="1"/>
    </row>
    <row r="504" ht="15.75" customHeight="1">
      <c r="A504" s="1"/>
      <c r="C504" s="1"/>
    </row>
    <row r="505" ht="15.75" customHeight="1">
      <c r="A505" s="1"/>
      <c r="C505" s="1"/>
    </row>
    <row r="506" ht="15.75" customHeight="1">
      <c r="A506" s="1"/>
      <c r="C506" s="1"/>
    </row>
    <row r="507" ht="15.75" customHeight="1">
      <c r="A507" s="1"/>
      <c r="C507" s="1"/>
    </row>
    <row r="508" ht="15.75" customHeight="1">
      <c r="A508" s="1"/>
      <c r="C508" s="1"/>
    </row>
    <row r="509" ht="15.75" customHeight="1">
      <c r="A509" s="1"/>
      <c r="C509" s="1"/>
    </row>
    <row r="510" ht="15.75" customHeight="1">
      <c r="A510" s="1"/>
      <c r="C510" s="1"/>
    </row>
    <row r="511" ht="15.75" customHeight="1">
      <c r="A511" s="1"/>
      <c r="C511" s="1"/>
    </row>
    <row r="512" ht="15.75" customHeight="1">
      <c r="A512" s="1"/>
      <c r="C512" s="1"/>
    </row>
    <row r="513" ht="15.75" customHeight="1">
      <c r="A513" s="1"/>
      <c r="C513" s="1"/>
    </row>
    <row r="514" ht="15.75" customHeight="1">
      <c r="A514" s="1"/>
      <c r="C514" s="1"/>
    </row>
    <row r="515" ht="15.75" customHeight="1">
      <c r="A515" s="1"/>
      <c r="C515" s="1"/>
    </row>
    <row r="516" ht="15.75" customHeight="1">
      <c r="A516" s="1"/>
      <c r="C516" s="1"/>
    </row>
    <row r="517" ht="15.75" customHeight="1">
      <c r="A517" s="1"/>
      <c r="C517" s="1"/>
    </row>
    <row r="518" ht="15.75" customHeight="1">
      <c r="A518" s="1"/>
      <c r="C518" s="1"/>
    </row>
    <row r="519" ht="15.75" customHeight="1">
      <c r="A519" s="1"/>
      <c r="C519" s="1"/>
    </row>
    <row r="520" ht="15.75" customHeight="1">
      <c r="A520" s="1"/>
      <c r="C520" s="1"/>
    </row>
    <row r="521" ht="15.75" customHeight="1">
      <c r="A521" s="1"/>
      <c r="C521" s="1"/>
    </row>
    <row r="522" ht="15.75" customHeight="1">
      <c r="A522" s="1"/>
      <c r="C522" s="1"/>
    </row>
    <row r="523" ht="15.75" customHeight="1">
      <c r="A523" s="1"/>
      <c r="C523" s="1"/>
    </row>
    <row r="524" ht="15.75" customHeight="1">
      <c r="A524" s="1"/>
      <c r="C524" s="1"/>
    </row>
    <row r="525" ht="15.75" customHeight="1">
      <c r="A525" s="1"/>
      <c r="C525" s="1"/>
    </row>
    <row r="526" ht="15.75" customHeight="1">
      <c r="A526" s="1"/>
      <c r="C526" s="1"/>
    </row>
    <row r="527" ht="15.75" customHeight="1">
      <c r="A527" s="1"/>
      <c r="C527" s="1"/>
    </row>
    <row r="528" ht="15.75" customHeight="1">
      <c r="A528" s="1"/>
      <c r="C528" s="1"/>
    </row>
    <row r="529" ht="15.75" customHeight="1">
      <c r="A529" s="1"/>
      <c r="C529" s="1"/>
    </row>
    <row r="530" ht="15.75" customHeight="1">
      <c r="A530" s="1"/>
      <c r="C530" s="1"/>
    </row>
    <row r="531" ht="15.75" customHeight="1">
      <c r="A531" s="1"/>
      <c r="C531" s="1"/>
    </row>
    <row r="532" ht="15.75" customHeight="1">
      <c r="A532" s="1"/>
      <c r="C532" s="1"/>
    </row>
    <row r="533" ht="15.75" customHeight="1">
      <c r="A533" s="1"/>
      <c r="C533" s="1"/>
    </row>
    <row r="534" ht="15.75" customHeight="1">
      <c r="A534" s="1"/>
      <c r="C534" s="1"/>
    </row>
    <row r="535" ht="15.75" customHeight="1">
      <c r="A535" s="1"/>
      <c r="C535" s="1"/>
    </row>
    <row r="536" ht="15.75" customHeight="1">
      <c r="A536" s="1"/>
      <c r="C536" s="1"/>
    </row>
    <row r="537" ht="15.75" customHeight="1">
      <c r="A537" s="1"/>
      <c r="C537" s="1"/>
    </row>
    <row r="538" ht="15.75" customHeight="1">
      <c r="A538" s="1"/>
      <c r="C538" s="1"/>
    </row>
    <row r="539" ht="15.75" customHeight="1">
      <c r="A539" s="1"/>
      <c r="C539" s="1"/>
    </row>
    <row r="540" ht="15.75" customHeight="1">
      <c r="A540" s="1"/>
      <c r="C540" s="1"/>
    </row>
    <row r="541" ht="15.75" customHeight="1">
      <c r="A541" s="1"/>
      <c r="C541" s="1"/>
    </row>
    <row r="542" ht="15.75" customHeight="1">
      <c r="A542" s="1"/>
      <c r="C542" s="1"/>
    </row>
    <row r="543" ht="15.75" customHeight="1">
      <c r="A543" s="1"/>
      <c r="C543" s="1"/>
    </row>
    <row r="544" ht="15.75" customHeight="1">
      <c r="A544" s="1"/>
      <c r="C544" s="1"/>
    </row>
    <row r="545" ht="15.75" customHeight="1">
      <c r="A545" s="1"/>
      <c r="C545" s="1"/>
    </row>
    <row r="546" ht="15.75" customHeight="1">
      <c r="A546" s="1"/>
      <c r="C546" s="1"/>
    </row>
    <row r="547" ht="15.75" customHeight="1">
      <c r="A547" s="1"/>
      <c r="C547" s="1"/>
    </row>
    <row r="548" ht="15.75" customHeight="1">
      <c r="A548" s="1"/>
      <c r="C548" s="1"/>
    </row>
    <row r="549" ht="15.75" customHeight="1">
      <c r="A549" s="1"/>
      <c r="C549" s="1"/>
    </row>
    <row r="550" ht="15.75" customHeight="1">
      <c r="A550" s="1"/>
      <c r="C550" s="1"/>
    </row>
    <row r="551" ht="15.75" customHeight="1">
      <c r="A551" s="1"/>
      <c r="C551" s="1"/>
    </row>
    <row r="552" ht="15.75" customHeight="1">
      <c r="A552" s="1"/>
      <c r="C552" s="1"/>
    </row>
    <row r="553" ht="15.75" customHeight="1">
      <c r="A553" s="1"/>
      <c r="C553" s="1"/>
    </row>
    <row r="554" ht="15.75" customHeight="1">
      <c r="A554" s="1"/>
      <c r="C554" s="1"/>
    </row>
    <row r="555" ht="15.75" customHeight="1">
      <c r="A555" s="1"/>
      <c r="C555" s="1"/>
    </row>
    <row r="556" ht="15.75" customHeight="1">
      <c r="A556" s="1"/>
      <c r="C556" s="1"/>
    </row>
    <row r="557" ht="15.75" customHeight="1">
      <c r="A557" s="1"/>
      <c r="C557" s="1"/>
    </row>
    <row r="558" ht="15.75" customHeight="1">
      <c r="A558" s="1"/>
      <c r="C558" s="1"/>
    </row>
    <row r="559" ht="15.75" customHeight="1">
      <c r="A559" s="1"/>
      <c r="C559" s="1"/>
    </row>
    <row r="560" ht="15.75" customHeight="1">
      <c r="A560" s="1"/>
      <c r="C560" s="1"/>
    </row>
    <row r="561" ht="15.75" customHeight="1">
      <c r="A561" s="1"/>
      <c r="C561" s="1"/>
    </row>
    <row r="562" ht="15.75" customHeight="1">
      <c r="A562" s="1"/>
      <c r="C562" s="1"/>
    </row>
    <row r="563" ht="15.75" customHeight="1">
      <c r="A563" s="1"/>
      <c r="C563" s="1"/>
    </row>
    <row r="564" ht="15.75" customHeight="1">
      <c r="A564" s="1"/>
      <c r="C564" s="1"/>
    </row>
    <row r="565" ht="15.75" customHeight="1">
      <c r="A565" s="1"/>
      <c r="C565" s="1"/>
    </row>
    <row r="566" ht="15.75" customHeight="1">
      <c r="A566" s="1"/>
      <c r="C566" s="1"/>
    </row>
    <row r="567" ht="15.75" customHeight="1">
      <c r="A567" s="1"/>
      <c r="C567" s="1"/>
    </row>
    <row r="568" ht="15.75" customHeight="1">
      <c r="A568" s="1"/>
      <c r="C568" s="1"/>
    </row>
    <row r="569" ht="15.75" customHeight="1">
      <c r="A569" s="1"/>
      <c r="C569" s="1"/>
    </row>
    <row r="570" ht="15.75" customHeight="1">
      <c r="A570" s="1"/>
      <c r="C570" s="1"/>
    </row>
    <row r="571" ht="15.75" customHeight="1">
      <c r="A571" s="1"/>
      <c r="C571" s="1"/>
    </row>
    <row r="572" ht="15.75" customHeight="1">
      <c r="A572" s="1"/>
      <c r="C572" s="1"/>
    </row>
    <row r="573" ht="15.75" customHeight="1">
      <c r="A573" s="1"/>
      <c r="C573" s="1"/>
    </row>
    <row r="574" ht="15.75" customHeight="1">
      <c r="A574" s="1"/>
      <c r="C574" s="1"/>
    </row>
    <row r="575" ht="15.75" customHeight="1">
      <c r="A575" s="1"/>
      <c r="C575" s="1"/>
    </row>
    <row r="576" ht="15.75" customHeight="1">
      <c r="A576" s="1"/>
      <c r="C576" s="1"/>
    </row>
    <row r="577" ht="15.75" customHeight="1">
      <c r="A577" s="1"/>
      <c r="C577" s="1"/>
    </row>
    <row r="578" ht="15.75" customHeight="1">
      <c r="A578" s="1"/>
      <c r="C578" s="1"/>
    </row>
    <row r="579" ht="15.75" customHeight="1">
      <c r="A579" s="1"/>
      <c r="C579" s="1"/>
    </row>
    <row r="580" ht="15.75" customHeight="1">
      <c r="A580" s="1"/>
      <c r="C580" s="1"/>
    </row>
    <row r="581" ht="15.75" customHeight="1">
      <c r="A581" s="1"/>
      <c r="C581" s="1"/>
    </row>
    <row r="582" ht="15.75" customHeight="1">
      <c r="A582" s="1"/>
      <c r="C582" s="1"/>
    </row>
    <row r="583" ht="15.75" customHeight="1">
      <c r="A583" s="1"/>
      <c r="C583" s="1"/>
    </row>
    <row r="584" ht="15.75" customHeight="1">
      <c r="A584" s="1"/>
      <c r="C584" s="1"/>
    </row>
    <row r="585" ht="15.75" customHeight="1">
      <c r="A585" s="1"/>
      <c r="C585" s="1"/>
    </row>
    <row r="586" ht="15.75" customHeight="1">
      <c r="A586" s="1"/>
      <c r="C586" s="1"/>
    </row>
    <row r="587" ht="15.75" customHeight="1">
      <c r="A587" s="1"/>
      <c r="C587" s="1"/>
    </row>
    <row r="588" ht="15.75" customHeight="1">
      <c r="A588" s="1"/>
      <c r="C588" s="1"/>
    </row>
    <row r="589" ht="15.75" customHeight="1">
      <c r="A589" s="1"/>
      <c r="C589" s="1"/>
    </row>
    <row r="590" ht="15.75" customHeight="1">
      <c r="A590" s="1"/>
      <c r="C590" s="1"/>
    </row>
    <row r="591" ht="15.75" customHeight="1">
      <c r="A591" s="1"/>
      <c r="C591" s="1"/>
    </row>
    <row r="592" ht="15.75" customHeight="1">
      <c r="A592" s="1"/>
      <c r="C592" s="1"/>
    </row>
    <row r="593" ht="15.75" customHeight="1">
      <c r="A593" s="1"/>
      <c r="C593" s="1"/>
    </row>
    <row r="594" ht="15.75" customHeight="1">
      <c r="A594" s="1"/>
      <c r="C594" s="1"/>
    </row>
    <row r="595" ht="15.75" customHeight="1">
      <c r="A595" s="1"/>
      <c r="C595" s="1"/>
    </row>
    <row r="596" ht="15.75" customHeight="1">
      <c r="A596" s="1"/>
      <c r="C596" s="1"/>
    </row>
    <row r="597" ht="15.75" customHeight="1">
      <c r="A597" s="1"/>
      <c r="C597" s="1"/>
    </row>
    <row r="598" ht="15.75" customHeight="1">
      <c r="A598" s="1"/>
      <c r="C598" s="1"/>
    </row>
    <row r="599" ht="15.75" customHeight="1">
      <c r="A599" s="1"/>
      <c r="C599" s="1"/>
    </row>
    <row r="600" ht="15.75" customHeight="1">
      <c r="A600" s="1"/>
      <c r="C600" s="1"/>
    </row>
    <row r="601" ht="15.75" customHeight="1">
      <c r="A601" s="1"/>
      <c r="C601" s="1"/>
    </row>
    <row r="602" ht="15.75" customHeight="1">
      <c r="A602" s="1"/>
      <c r="C602" s="1"/>
    </row>
    <row r="603" ht="15.75" customHeight="1">
      <c r="A603" s="1"/>
      <c r="C603" s="1"/>
    </row>
    <row r="604" ht="15.75" customHeight="1">
      <c r="A604" s="1"/>
      <c r="C604" s="1"/>
    </row>
    <row r="605" ht="15.75" customHeight="1">
      <c r="A605" s="1"/>
      <c r="C605" s="1"/>
    </row>
    <row r="606" ht="15.75" customHeight="1">
      <c r="A606" s="1"/>
      <c r="C606" s="1"/>
    </row>
    <row r="607" ht="15.75" customHeight="1">
      <c r="A607" s="1"/>
      <c r="C607" s="1"/>
    </row>
    <row r="608" ht="15.75" customHeight="1">
      <c r="A608" s="1"/>
      <c r="C608" s="1"/>
    </row>
    <row r="609" ht="15.75" customHeight="1">
      <c r="A609" s="1"/>
      <c r="C609" s="1"/>
    </row>
    <row r="610" ht="15.75" customHeight="1">
      <c r="A610" s="1"/>
      <c r="C610" s="1"/>
    </row>
    <row r="611" ht="15.75" customHeight="1">
      <c r="A611" s="1"/>
      <c r="C611" s="1"/>
    </row>
    <row r="612" ht="15.75" customHeight="1">
      <c r="A612" s="1"/>
      <c r="C612" s="1"/>
    </row>
    <row r="613" ht="15.75" customHeight="1">
      <c r="A613" s="1"/>
      <c r="C613" s="1"/>
    </row>
    <row r="614" ht="15.75" customHeight="1">
      <c r="A614" s="1"/>
      <c r="C614" s="1"/>
    </row>
    <row r="615" ht="15.75" customHeight="1">
      <c r="A615" s="1"/>
      <c r="C615" s="1"/>
    </row>
    <row r="616" ht="15.75" customHeight="1">
      <c r="A616" s="1"/>
      <c r="C616" s="1"/>
    </row>
    <row r="617" ht="15.75" customHeight="1">
      <c r="A617" s="1"/>
      <c r="C617" s="1"/>
    </row>
    <row r="618" ht="15.75" customHeight="1">
      <c r="A618" s="1"/>
      <c r="C618" s="1"/>
    </row>
    <row r="619" ht="15.75" customHeight="1">
      <c r="A619" s="1"/>
      <c r="C619" s="1"/>
    </row>
    <row r="620" ht="15.75" customHeight="1">
      <c r="A620" s="1"/>
      <c r="C620" s="1"/>
    </row>
    <row r="621" ht="15.75" customHeight="1">
      <c r="A621" s="1"/>
      <c r="C621" s="1"/>
    </row>
    <row r="622" ht="15.75" customHeight="1">
      <c r="A622" s="1"/>
      <c r="C622" s="1"/>
    </row>
    <row r="623" ht="15.75" customHeight="1">
      <c r="A623" s="1"/>
      <c r="C623" s="1"/>
    </row>
    <row r="624" ht="15.75" customHeight="1">
      <c r="A624" s="1"/>
      <c r="C624" s="1"/>
    </row>
    <row r="625" ht="15.75" customHeight="1">
      <c r="A625" s="1"/>
      <c r="C625" s="1"/>
    </row>
    <row r="626" ht="15.75" customHeight="1">
      <c r="A626" s="1"/>
      <c r="C626" s="1"/>
    </row>
    <row r="627" ht="15.75" customHeight="1">
      <c r="A627" s="1"/>
      <c r="C627" s="1"/>
    </row>
    <row r="628" ht="15.75" customHeight="1">
      <c r="A628" s="1"/>
      <c r="C628" s="1"/>
    </row>
    <row r="629" ht="15.75" customHeight="1">
      <c r="A629" s="1"/>
      <c r="C629" s="1"/>
    </row>
    <row r="630" ht="15.75" customHeight="1">
      <c r="A630" s="1"/>
      <c r="C630" s="1"/>
    </row>
    <row r="631" ht="15.75" customHeight="1">
      <c r="A631" s="1"/>
      <c r="C631" s="1"/>
    </row>
    <row r="632" ht="15.75" customHeight="1">
      <c r="A632" s="1"/>
      <c r="C632" s="1"/>
    </row>
    <row r="633" ht="15.75" customHeight="1">
      <c r="A633" s="1"/>
      <c r="C633" s="1"/>
    </row>
    <row r="634" ht="15.75" customHeight="1">
      <c r="A634" s="1"/>
      <c r="C634" s="1"/>
    </row>
    <row r="635" ht="15.75" customHeight="1">
      <c r="A635" s="1"/>
      <c r="C635" s="1"/>
    </row>
    <row r="636" ht="15.75" customHeight="1">
      <c r="A636" s="1"/>
      <c r="C636" s="1"/>
    </row>
    <row r="637" ht="15.75" customHeight="1">
      <c r="A637" s="1"/>
      <c r="C637" s="1"/>
    </row>
    <row r="638" ht="15.75" customHeight="1">
      <c r="A638" s="1"/>
      <c r="C638" s="1"/>
    </row>
    <row r="639" ht="15.75" customHeight="1">
      <c r="A639" s="1"/>
      <c r="C639" s="1"/>
    </row>
    <row r="640" ht="15.75" customHeight="1">
      <c r="A640" s="1"/>
      <c r="C640" s="1"/>
    </row>
    <row r="641" ht="15.75" customHeight="1">
      <c r="A641" s="1"/>
      <c r="C641" s="1"/>
    </row>
    <row r="642" ht="15.75" customHeight="1">
      <c r="A642" s="1"/>
      <c r="C642" s="1"/>
    </row>
    <row r="643" ht="15.75" customHeight="1">
      <c r="A643" s="1"/>
      <c r="C643" s="1"/>
    </row>
    <row r="644" ht="15.75" customHeight="1">
      <c r="A644" s="1"/>
      <c r="C644" s="1"/>
    </row>
    <row r="645" ht="15.75" customHeight="1">
      <c r="A645" s="1"/>
      <c r="C645" s="1"/>
    </row>
    <row r="646" ht="15.75" customHeight="1">
      <c r="A646" s="1"/>
      <c r="C646" s="1"/>
    </row>
    <row r="647" ht="15.75" customHeight="1">
      <c r="A647" s="1"/>
      <c r="C647" s="1"/>
    </row>
    <row r="648" ht="15.75" customHeight="1">
      <c r="A648" s="1"/>
      <c r="C648" s="1"/>
    </row>
    <row r="649" ht="15.75" customHeight="1">
      <c r="A649" s="1"/>
      <c r="C649" s="1"/>
    </row>
    <row r="650" ht="15.75" customHeight="1">
      <c r="A650" s="1"/>
      <c r="C650" s="1"/>
    </row>
    <row r="651" ht="15.75" customHeight="1">
      <c r="A651" s="1"/>
      <c r="C651" s="1"/>
    </row>
    <row r="652" ht="15.75" customHeight="1">
      <c r="A652" s="1"/>
      <c r="C652" s="1"/>
    </row>
    <row r="653" ht="15.75" customHeight="1">
      <c r="A653" s="1"/>
      <c r="C653" s="1"/>
    </row>
    <row r="654" ht="15.75" customHeight="1">
      <c r="A654" s="1"/>
      <c r="C654" s="1"/>
    </row>
    <row r="655" ht="15.75" customHeight="1">
      <c r="A655" s="1"/>
      <c r="C655" s="1"/>
    </row>
    <row r="656" ht="15.75" customHeight="1">
      <c r="A656" s="1"/>
      <c r="C656" s="1"/>
    </row>
    <row r="657" ht="15.75" customHeight="1">
      <c r="A657" s="1"/>
      <c r="C657" s="1"/>
    </row>
    <row r="658" ht="15.75" customHeight="1">
      <c r="A658" s="1"/>
      <c r="C658" s="1"/>
    </row>
    <row r="659" ht="15.75" customHeight="1">
      <c r="A659" s="1"/>
      <c r="C659" s="1"/>
    </row>
    <row r="660" ht="15.75" customHeight="1">
      <c r="A660" s="1"/>
      <c r="C660" s="1"/>
    </row>
    <row r="661" ht="15.75" customHeight="1">
      <c r="A661" s="1"/>
      <c r="C661" s="1"/>
    </row>
    <row r="662" ht="15.75" customHeight="1">
      <c r="A662" s="1"/>
      <c r="C662" s="1"/>
    </row>
    <row r="663" ht="15.75" customHeight="1">
      <c r="A663" s="1"/>
      <c r="C663" s="1"/>
    </row>
    <row r="664" ht="15.75" customHeight="1">
      <c r="A664" s="1"/>
      <c r="C664" s="1"/>
    </row>
    <row r="665" ht="15.75" customHeight="1">
      <c r="A665" s="1"/>
      <c r="C665" s="1"/>
    </row>
    <row r="666" ht="15.75" customHeight="1">
      <c r="A666" s="1"/>
      <c r="C666" s="1"/>
    </row>
    <row r="667" ht="15.75" customHeight="1">
      <c r="A667" s="1"/>
      <c r="C667" s="1"/>
    </row>
    <row r="668" ht="15.75" customHeight="1">
      <c r="A668" s="1"/>
      <c r="C668" s="1"/>
    </row>
    <row r="669" ht="15.75" customHeight="1">
      <c r="A669" s="1"/>
      <c r="C669" s="1"/>
    </row>
    <row r="670" ht="15.75" customHeight="1">
      <c r="A670" s="1"/>
      <c r="C670" s="1"/>
    </row>
    <row r="671" ht="15.75" customHeight="1">
      <c r="A671" s="1"/>
      <c r="C671" s="1"/>
    </row>
    <row r="672" ht="15.75" customHeight="1">
      <c r="A672" s="1"/>
      <c r="C672" s="1"/>
    </row>
    <row r="673" ht="15.75" customHeight="1">
      <c r="A673" s="1"/>
      <c r="C673" s="1"/>
    </row>
    <row r="674" ht="15.75" customHeight="1">
      <c r="A674" s="1"/>
      <c r="C674" s="1"/>
    </row>
    <row r="675" ht="15.75" customHeight="1">
      <c r="A675" s="1"/>
      <c r="C675" s="1"/>
    </row>
    <row r="676" ht="15.75" customHeight="1">
      <c r="A676" s="1"/>
      <c r="C676" s="1"/>
    </row>
    <row r="677" ht="15.75" customHeight="1">
      <c r="A677" s="1"/>
      <c r="C677" s="1"/>
    </row>
    <row r="678" ht="15.75" customHeight="1">
      <c r="A678" s="1"/>
      <c r="C678" s="1"/>
    </row>
    <row r="679" ht="15.75" customHeight="1">
      <c r="A679" s="1"/>
      <c r="C679" s="1"/>
    </row>
    <row r="680" ht="15.75" customHeight="1">
      <c r="A680" s="1"/>
      <c r="C680" s="1"/>
    </row>
    <row r="681" ht="15.75" customHeight="1">
      <c r="A681" s="1"/>
      <c r="C681" s="1"/>
    </row>
    <row r="682" ht="15.75" customHeight="1">
      <c r="A682" s="1"/>
      <c r="C682" s="1"/>
    </row>
    <row r="683" ht="15.75" customHeight="1">
      <c r="A683" s="1"/>
      <c r="C683" s="1"/>
    </row>
    <row r="684" ht="15.75" customHeight="1">
      <c r="A684" s="1"/>
      <c r="C684" s="1"/>
    </row>
    <row r="685" ht="15.75" customHeight="1">
      <c r="A685" s="1"/>
      <c r="C685" s="1"/>
    </row>
    <row r="686" ht="15.75" customHeight="1">
      <c r="A686" s="1"/>
      <c r="C686" s="1"/>
    </row>
    <row r="687" ht="15.75" customHeight="1">
      <c r="A687" s="1"/>
      <c r="C687" s="1"/>
    </row>
    <row r="688" ht="15.75" customHeight="1">
      <c r="A688" s="1"/>
      <c r="C688" s="1"/>
    </row>
    <row r="689" ht="15.75" customHeight="1">
      <c r="A689" s="1"/>
      <c r="C689" s="1"/>
    </row>
    <row r="690" ht="15.75" customHeight="1">
      <c r="A690" s="1"/>
      <c r="C690" s="1"/>
    </row>
    <row r="691" ht="15.75" customHeight="1">
      <c r="A691" s="1"/>
      <c r="C691" s="1"/>
    </row>
    <row r="692" ht="15.75" customHeight="1">
      <c r="A692" s="1"/>
      <c r="C692" s="1"/>
    </row>
    <row r="693" ht="15.75" customHeight="1">
      <c r="A693" s="1"/>
      <c r="C693" s="1"/>
    </row>
    <row r="694" ht="15.75" customHeight="1">
      <c r="A694" s="1"/>
      <c r="C694" s="1"/>
    </row>
    <row r="695" ht="15.75" customHeight="1">
      <c r="A695" s="1"/>
      <c r="C695" s="1"/>
    </row>
    <row r="696" ht="15.75" customHeight="1">
      <c r="A696" s="1"/>
      <c r="C696" s="1"/>
    </row>
    <row r="697" ht="15.75" customHeight="1">
      <c r="A697" s="1"/>
      <c r="C697" s="1"/>
    </row>
    <row r="698" ht="15.75" customHeight="1">
      <c r="A698" s="1"/>
      <c r="C698" s="1"/>
    </row>
    <row r="699" ht="15.75" customHeight="1">
      <c r="A699" s="1"/>
      <c r="C699" s="1"/>
    </row>
    <row r="700" ht="15.75" customHeight="1">
      <c r="A700" s="1"/>
      <c r="C700" s="1"/>
    </row>
    <row r="701" ht="15.75" customHeight="1">
      <c r="A701" s="1"/>
      <c r="C701" s="1"/>
    </row>
    <row r="702" ht="15.75" customHeight="1">
      <c r="A702" s="1"/>
      <c r="C702" s="1"/>
    </row>
    <row r="703" ht="15.75" customHeight="1">
      <c r="A703" s="1"/>
      <c r="C703" s="1"/>
    </row>
    <row r="704" ht="15.75" customHeight="1">
      <c r="A704" s="1"/>
      <c r="C704" s="1"/>
    </row>
    <row r="705" ht="15.75" customHeight="1">
      <c r="A705" s="1"/>
      <c r="C705" s="1"/>
    </row>
    <row r="706" ht="15.75" customHeight="1">
      <c r="A706" s="1"/>
      <c r="C706" s="1"/>
    </row>
    <row r="707" ht="15.75" customHeight="1">
      <c r="A707" s="1"/>
      <c r="C707" s="1"/>
    </row>
    <row r="708" ht="15.75" customHeight="1">
      <c r="A708" s="1"/>
      <c r="C708" s="1"/>
    </row>
    <row r="709" ht="15.75" customHeight="1">
      <c r="A709" s="1"/>
      <c r="C709" s="1"/>
    </row>
    <row r="710" ht="15.75" customHeight="1">
      <c r="A710" s="1"/>
      <c r="C710" s="1"/>
    </row>
    <row r="711" ht="15.75" customHeight="1">
      <c r="A711" s="1"/>
      <c r="C711" s="1"/>
    </row>
    <row r="712" ht="15.75" customHeight="1">
      <c r="A712" s="1"/>
      <c r="C712" s="1"/>
    </row>
    <row r="713" ht="15.75" customHeight="1">
      <c r="A713" s="1"/>
      <c r="C713" s="1"/>
    </row>
    <row r="714" ht="15.75" customHeight="1">
      <c r="A714" s="1"/>
      <c r="C714" s="1"/>
    </row>
    <row r="715" ht="15.75" customHeight="1">
      <c r="A715" s="1"/>
      <c r="C715" s="1"/>
    </row>
    <row r="716" ht="15.75" customHeight="1">
      <c r="A716" s="1"/>
      <c r="C716" s="1"/>
    </row>
    <row r="717" ht="15.75" customHeight="1">
      <c r="A717" s="1"/>
      <c r="C717" s="1"/>
    </row>
    <row r="718" ht="15.75" customHeight="1">
      <c r="A718" s="1"/>
      <c r="C718" s="1"/>
    </row>
    <row r="719" ht="15.75" customHeight="1">
      <c r="A719" s="1"/>
      <c r="C719" s="1"/>
    </row>
    <row r="720" ht="15.75" customHeight="1">
      <c r="A720" s="1"/>
      <c r="C720" s="1"/>
    </row>
    <row r="721" ht="15.75" customHeight="1">
      <c r="A721" s="1"/>
      <c r="C721" s="1"/>
    </row>
    <row r="722" ht="15.75" customHeight="1">
      <c r="A722" s="1"/>
      <c r="C722" s="1"/>
    </row>
    <row r="723" ht="15.75" customHeight="1">
      <c r="A723" s="1"/>
      <c r="C723" s="1"/>
    </row>
    <row r="724" ht="15.75" customHeight="1">
      <c r="A724" s="1"/>
      <c r="C724" s="1"/>
    </row>
    <row r="725" ht="15.75" customHeight="1">
      <c r="A725" s="1"/>
      <c r="C725" s="1"/>
    </row>
    <row r="726" ht="15.75" customHeight="1">
      <c r="A726" s="1"/>
      <c r="C726" s="1"/>
    </row>
    <row r="727" ht="15.75" customHeight="1">
      <c r="A727" s="1"/>
      <c r="C727" s="1"/>
    </row>
    <row r="728" ht="15.75" customHeight="1">
      <c r="A728" s="1"/>
      <c r="C728" s="1"/>
    </row>
    <row r="729" ht="15.75" customHeight="1">
      <c r="A729" s="1"/>
      <c r="C729" s="1"/>
    </row>
    <row r="730" ht="15.75" customHeight="1">
      <c r="A730" s="1"/>
      <c r="C730" s="1"/>
    </row>
    <row r="731" ht="15.75" customHeight="1">
      <c r="A731" s="1"/>
      <c r="C731" s="1"/>
    </row>
    <row r="732" ht="15.75" customHeight="1">
      <c r="A732" s="1"/>
      <c r="C732" s="1"/>
    </row>
    <row r="733" ht="15.75" customHeight="1">
      <c r="A733" s="1"/>
      <c r="C733" s="1"/>
    </row>
    <row r="734" ht="15.75" customHeight="1">
      <c r="A734" s="1"/>
      <c r="C734" s="1"/>
    </row>
    <row r="735" ht="15.75" customHeight="1">
      <c r="A735" s="1"/>
      <c r="C735" s="1"/>
    </row>
    <row r="736" ht="15.75" customHeight="1">
      <c r="A736" s="1"/>
      <c r="C736" s="1"/>
    </row>
    <row r="737" ht="15.75" customHeight="1">
      <c r="A737" s="1"/>
      <c r="C737" s="1"/>
    </row>
    <row r="738" ht="15.75" customHeight="1">
      <c r="A738" s="1"/>
      <c r="C738" s="1"/>
    </row>
    <row r="739" ht="15.75" customHeight="1">
      <c r="A739" s="1"/>
      <c r="C739" s="1"/>
    </row>
    <row r="740" ht="15.75" customHeight="1">
      <c r="A740" s="1"/>
      <c r="C740" s="1"/>
    </row>
    <row r="741" ht="15.75" customHeight="1">
      <c r="A741" s="1"/>
      <c r="C741" s="1"/>
    </row>
    <row r="742" ht="15.75" customHeight="1">
      <c r="A742" s="1"/>
      <c r="C742" s="1"/>
    </row>
    <row r="743" ht="15.75" customHeight="1">
      <c r="A743" s="1"/>
      <c r="C743" s="1"/>
    </row>
    <row r="744" ht="15.75" customHeight="1">
      <c r="A744" s="1"/>
      <c r="C744" s="1"/>
    </row>
    <row r="745" ht="15.75" customHeight="1">
      <c r="A745" s="1"/>
      <c r="C745" s="1"/>
    </row>
    <row r="746" ht="15.75" customHeight="1">
      <c r="A746" s="1"/>
      <c r="C746" s="1"/>
    </row>
    <row r="747" ht="15.75" customHeight="1">
      <c r="A747" s="1"/>
      <c r="C747" s="1"/>
    </row>
    <row r="748" ht="15.75" customHeight="1">
      <c r="A748" s="1"/>
      <c r="C748" s="1"/>
    </row>
    <row r="749" ht="15.75" customHeight="1">
      <c r="A749" s="1"/>
      <c r="C749" s="1"/>
    </row>
    <row r="750" ht="15.75" customHeight="1">
      <c r="A750" s="1"/>
      <c r="C750" s="1"/>
    </row>
    <row r="751" ht="15.75" customHeight="1">
      <c r="A751" s="1"/>
      <c r="C751" s="1"/>
    </row>
    <row r="752" ht="15.75" customHeight="1">
      <c r="A752" s="1"/>
      <c r="C752" s="1"/>
    </row>
    <row r="753" ht="15.75" customHeight="1">
      <c r="A753" s="1"/>
      <c r="C753" s="1"/>
    </row>
    <row r="754" ht="15.75" customHeight="1">
      <c r="A754" s="1"/>
      <c r="C754" s="1"/>
    </row>
    <row r="755" ht="15.75" customHeight="1">
      <c r="A755" s="1"/>
      <c r="C755" s="1"/>
    </row>
    <row r="756" ht="15.75" customHeight="1">
      <c r="A756" s="1"/>
      <c r="C756" s="1"/>
    </row>
    <row r="757" ht="15.75" customHeight="1">
      <c r="A757" s="1"/>
      <c r="C757" s="1"/>
    </row>
    <row r="758" ht="15.75" customHeight="1">
      <c r="A758" s="1"/>
      <c r="C758" s="1"/>
    </row>
    <row r="759" ht="15.75" customHeight="1">
      <c r="A759" s="1"/>
      <c r="C759" s="1"/>
    </row>
    <row r="760" ht="15.75" customHeight="1">
      <c r="A760" s="1"/>
      <c r="C760" s="1"/>
    </row>
    <row r="761" ht="15.75" customHeight="1">
      <c r="A761" s="1"/>
      <c r="C761" s="1"/>
    </row>
    <row r="762" ht="15.75" customHeight="1">
      <c r="A762" s="1"/>
      <c r="C762" s="1"/>
    </row>
    <row r="763" ht="15.75" customHeight="1">
      <c r="A763" s="1"/>
      <c r="C763" s="1"/>
    </row>
    <row r="764" ht="15.75" customHeight="1">
      <c r="A764" s="1"/>
      <c r="C764" s="1"/>
    </row>
    <row r="765" ht="15.75" customHeight="1">
      <c r="A765" s="1"/>
      <c r="C765" s="1"/>
    </row>
    <row r="766" ht="15.75" customHeight="1">
      <c r="A766" s="1"/>
      <c r="C766" s="1"/>
    </row>
    <row r="767" ht="15.75" customHeight="1">
      <c r="A767" s="1"/>
      <c r="C767" s="1"/>
    </row>
    <row r="768" ht="15.75" customHeight="1">
      <c r="A768" s="1"/>
      <c r="C768" s="1"/>
    </row>
    <row r="769" ht="15.75" customHeight="1">
      <c r="A769" s="1"/>
      <c r="C769" s="1"/>
    </row>
    <row r="770" ht="15.75" customHeight="1">
      <c r="A770" s="1"/>
      <c r="C770" s="1"/>
    </row>
    <row r="771" ht="15.75" customHeight="1">
      <c r="A771" s="1"/>
      <c r="C771" s="1"/>
    </row>
    <row r="772" ht="15.75" customHeight="1">
      <c r="A772" s="1"/>
      <c r="C772" s="1"/>
    </row>
    <row r="773" ht="15.75" customHeight="1">
      <c r="A773" s="1"/>
      <c r="C773" s="1"/>
    </row>
    <row r="774" ht="15.75" customHeight="1">
      <c r="A774" s="1"/>
      <c r="C774" s="1"/>
    </row>
    <row r="775" ht="15.75" customHeight="1">
      <c r="A775" s="1"/>
      <c r="C775" s="1"/>
    </row>
    <row r="776" ht="15.75" customHeight="1">
      <c r="A776" s="1"/>
      <c r="C776" s="1"/>
    </row>
    <row r="777" ht="15.75" customHeight="1">
      <c r="A777" s="1"/>
      <c r="C777" s="1"/>
    </row>
    <row r="778" ht="15.75" customHeight="1">
      <c r="A778" s="1"/>
      <c r="C778" s="1"/>
    </row>
    <row r="779" ht="15.75" customHeight="1">
      <c r="A779" s="1"/>
      <c r="C779" s="1"/>
    </row>
    <row r="780" ht="15.75" customHeight="1">
      <c r="A780" s="1"/>
      <c r="C780" s="1"/>
    </row>
    <row r="781" ht="15.75" customHeight="1">
      <c r="A781" s="1"/>
      <c r="C781" s="1"/>
    </row>
    <row r="782" ht="15.75" customHeight="1">
      <c r="A782" s="1"/>
      <c r="C782" s="1"/>
    </row>
    <row r="783" ht="15.75" customHeight="1">
      <c r="A783" s="1"/>
      <c r="C783" s="1"/>
    </row>
    <row r="784" ht="15.75" customHeight="1">
      <c r="A784" s="1"/>
      <c r="C784" s="1"/>
    </row>
    <row r="785" ht="15.75" customHeight="1">
      <c r="A785" s="1"/>
      <c r="C785" s="1"/>
    </row>
    <row r="786" ht="15.75" customHeight="1">
      <c r="A786" s="1"/>
      <c r="C786" s="1"/>
    </row>
    <row r="787" ht="15.75" customHeight="1">
      <c r="A787" s="1"/>
      <c r="C787" s="1"/>
    </row>
    <row r="788" ht="15.75" customHeight="1">
      <c r="A788" s="1"/>
      <c r="C788" s="1"/>
    </row>
    <row r="789" ht="15.75" customHeight="1">
      <c r="A789" s="1"/>
      <c r="C789" s="1"/>
    </row>
    <row r="790" ht="15.75" customHeight="1">
      <c r="A790" s="1"/>
      <c r="C790" s="1"/>
    </row>
    <row r="791" ht="15.75" customHeight="1">
      <c r="A791" s="1"/>
      <c r="C791" s="1"/>
    </row>
    <row r="792" ht="15.75" customHeight="1">
      <c r="A792" s="1"/>
      <c r="C792" s="1"/>
    </row>
    <row r="793" ht="15.75" customHeight="1">
      <c r="A793" s="1"/>
      <c r="C793" s="1"/>
    </row>
    <row r="794" ht="15.75" customHeight="1">
      <c r="A794" s="1"/>
      <c r="C794" s="1"/>
    </row>
    <row r="795" ht="15.75" customHeight="1">
      <c r="A795" s="1"/>
      <c r="C795" s="1"/>
    </row>
    <row r="796" ht="15.75" customHeight="1">
      <c r="A796" s="1"/>
      <c r="C796" s="1"/>
    </row>
    <row r="797" ht="15.75" customHeight="1">
      <c r="A797" s="1"/>
      <c r="C797" s="1"/>
    </row>
    <row r="798" ht="15.75" customHeight="1">
      <c r="A798" s="1"/>
      <c r="C798" s="1"/>
    </row>
    <row r="799" ht="15.75" customHeight="1">
      <c r="A799" s="1"/>
      <c r="C799" s="1"/>
    </row>
    <row r="800" ht="15.75" customHeight="1">
      <c r="A800" s="1"/>
      <c r="C800" s="1"/>
    </row>
    <row r="801" ht="15.75" customHeight="1">
      <c r="A801" s="1"/>
      <c r="C801" s="1"/>
    </row>
    <row r="802" ht="15.75" customHeight="1">
      <c r="A802" s="1"/>
      <c r="C802" s="1"/>
    </row>
    <row r="803" ht="15.75" customHeight="1">
      <c r="A803" s="1"/>
      <c r="C803" s="1"/>
    </row>
    <row r="804" ht="15.75" customHeight="1">
      <c r="A804" s="1"/>
      <c r="C804" s="1"/>
    </row>
    <row r="805" ht="15.75" customHeight="1">
      <c r="A805" s="1"/>
      <c r="C805" s="1"/>
    </row>
    <row r="806" ht="15.75" customHeight="1">
      <c r="A806" s="1"/>
      <c r="C806" s="1"/>
    </row>
    <row r="807" ht="15.75" customHeight="1">
      <c r="A807" s="1"/>
      <c r="C807" s="1"/>
    </row>
    <row r="808" ht="15.75" customHeight="1">
      <c r="A808" s="1"/>
      <c r="C808" s="1"/>
    </row>
    <row r="809" ht="15.75" customHeight="1">
      <c r="A809" s="1"/>
      <c r="C809" s="1"/>
    </row>
    <row r="810" ht="15.75" customHeight="1">
      <c r="A810" s="1"/>
      <c r="C810" s="1"/>
    </row>
    <row r="811" ht="15.75" customHeight="1">
      <c r="A811" s="1"/>
      <c r="C811" s="1"/>
    </row>
    <row r="812" ht="15.75" customHeight="1">
      <c r="A812" s="1"/>
      <c r="C812" s="1"/>
    </row>
    <row r="813" ht="15.75" customHeight="1">
      <c r="A813" s="1"/>
      <c r="C813" s="1"/>
    </row>
    <row r="814" ht="15.75" customHeight="1">
      <c r="A814" s="1"/>
      <c r="C814" s="1"/>
    </row>
    <row r="815" ht="15.75" customHeight="1">
      <c r="A815" s="1"/>
      <c r="C815" s="1"/>
    </row>
    <row r="816" ht="15.75" customHeight="1">
      <c r="A816" s="1"/>
      <c r="C816" s="1"/>
    </row>
    <row r="817" ht="15.75" customHeight="1">
      <c r="A817" s="1"/>
      <c r="C817" s="1"/>
    </row>
    <row r="818" ht="15.75" customHeight="1">
      <c r="A818" s="1"/>
      <c r="C818" s="1"/>
    </row>
    <row r="819" ht="15.75" customHeight="1">
      <c r="A819" s="1"/>
      <c r="C819" s="1"/>
    </row>
    <row r="820" ht="15.75" customHeight="1">
      <c r="A820" s="1"/>
      <c r="C820" s="1"/>
    </row>
    <row r="821" ht="15.75" customHeight="1">
      <c r="A821" s="1"/>
      <c r="C821" s="1"/>
    </row>
    <row r="822" ht="15.75" customHeight="1">
      <c r="A822" s="1"/>
      <c r="C822" s="1"/>
    </row>
    <row r="823" ht="15.75" customHeight="1">
      <c r="A823" s="1"/>
      <c r="C823" s="1"/>
    </row>
    <row r="824" ht="15.75" customHeight="1">
      <c r="A824" s="1"/>
      <c r="C824" s="1"/>
    </row>
    <row r="825" ht="15.75" customHeight="1">
      <c r="A825" s="1"/>
      <c r="C825" s="1"/>
    </row>
    <row r="826" ht="15.75" customHeight="1">
      <c r="A826" s="1"/>
      <c r="C826" s="1"/>
    </row>
    <row r="827" ht="15.75" customHeight="1">
      <c r="A827" s="1"/>
      <c r="C827" s="1"/>
    </row>
    <row r="828" ht="15.75" customHeight="1">
      <c r="A828" s="1"/>
      <c r="C828" s="1"/>
    </row>
    <row r="829" ht="15.75" customHeight="1">
      <c r="A829" s="1"/>
      <c r="C829" s="1"/>
    </row>
    <row r="830" ht="15.75" customHeight="1">
      <c r="A830" s="1"/>
      <c r="C830" s="1"/>
    </row>
    <row r="831" ht="15.75" customHeight="1">
      <c r="A831" s="1"/>
      <c r="C831" s="1"/>
    </row>
    <row r="832" ht="15.75" customHeight="1">
      <c r="A832" s="1"/>
      <c r="C832" s="1"/>
    </row>
    <row r="833" ht="15.75" customHeight="1">
      <c r="A833" s="1"/>
      <c r="C833" s="1"/>
    </row>
    <row r="834" ht="15.75" customHeight="1">
      <c r="A834" s="1"/>
      <c r="C834" s="1"/>
    </row>
    <row r="835" ht="15.75" customHeight="1">
      <c r="A835" s="1"/>
      <c r="C835" s="1"/>
    </row>
    <row r="836" ht="15.75" customHeight="1">
      <c r="A836" s="1"/>
      <c r="C836" s="1"/>
    </row>
    <row r="837" ht="15.75" customHeight="1">
      <c r="A837" s="1"/>
      <c r="C837" s="1"/>
    </row>
    <row r="838" ht="15.75" customHeight="1">
      <c r="A838" s="1"/>
      <c r="C838" s="1"/>
    </row>
    <row r="839" ht="15.75" customHeight="1">
      <c r="A839" s="1"/>
      <c r="C839" s="1"/>
    </row>
    <row r="840" ht="15.75" customHeight="1">
      <c r="A840" s="1"/>
      <c r="C840" s="1"/>
    </row>
    <row r="841" ht="15.75" customHeight="1">
      <c r="A841" s="1"/>
      <c r="C841" s="1"/>
    </row>
    <row r="842" ht="15.75" customHeight="1">
      <c r="A842" s="1"/>
      <c r="C842" s="1"/>
    </row>
    <row r="843" ht="15.75" customHeight="1">
      <c r="A843" s="1"/>
      <c r="C843" s="1"/>
    </row>
    <row r="844" ht="15.75" customHeight="1">
      <c r="A844" s="1"/>
      <c r="C844" s="1"/>
    </row>
    <row r="845" ht="15.75" customHeight="1">
      <c r="A845" s="1"/>
      <c r="C845" s="1"/>
    </row>
    <row r="846" ht="15.75" customHeight="1">
      <c r="A846" s="1"/>
      <c r="C846" s="1"/>
    </row>
    <row r="847" ht="15.75" customHeight="1">
      <c r="A847" s="1"/>
      <c r="C847" s="1"/>
    </row>
    <row r="848" ht="15.75" customHeight="1">
      <c r="A848" s="1"/>
      <c r="C848" s="1"/>
    </row>
    <row r="849" ht="15.75" customHeight="1">
      <c r="A849" s="1"/>
      <c r="C849" s="1"/>
    </row>
    <row r="850" ht="15.75" customHeight="1">
      <c r="A850" s="1"/>
      <c r="C850" s="1"/>
    </row>
    <row r="851" ht="15.75" customHeight="1">
      <c r="A851" s="1"/>
      <c r="C851" s="1"/>
    </row>
    <row r="852" ht="15.75" customHeight="1">
      <c r="A852" s="1"/>
      <c r="C852" s="1"/>
    </row>
    <row r="853" ht="15.75" customHeight="1">
      <c r="A853" s="1"/>
      <c r="C853" s="1"/>
    </row>
    <row r="854" ht="15.75" customHeight="1">
      <c r="A854" s="1"/>
      <c r="C854" s="1"/>
    </row>
    <row r="855" ht="15.75" customHeight="1">
      <c r="A855" s="1"/>
      <c r="C855" s="1"/>
    </row>
    <row r="856" ht="15.75" customHeight="1">
      <c r="A856" s="1"/>
      <c r="C856" s="1"/>
    </row>
    <row r="857" ht="15.75" customHeight="1">
      <c r="A857" s="1"/>
      <c r="C857" s="1"/>
    </row>
    <row r="858" ht="15.75" customHeight="1">
      <c r="A858" s="1"/>
      <c r="C858" s="1"/>
    </row>
    <row r="859" ht="15.75" customHeight="1">
      <c r="A859" s="1"/>
      <c r="C859" s="1"/>
    </row>
    <row r="860" ht="15.75" customHeight="1">
      <c r="A860" s="1"/>
      <c r="C860" s="1"/>
    </row>
    <row r="861" ht="15.75" customHeight="1">
      <c r="A861" s="1"/>
      <c r="C861" s="1"/>
    </row>
    <row r="862" ht="15.75" customHeight="1">
      <c r="A862" s="1"/>
      <c r="C862" s="1"/>
    </row>
    <row r="863" ht="15.75" customHeight="1">
      <c r="A863" s="1"/>
      <c r="C863" s="1"/>
    </row>
    <row r="864" ht="15.75" customHeight="1">
      <c r="A864" s="1"/>
      <c r="C864" s="1"/>
    </row>
    <row r="865" ht="15.75" customHeight="1">
      <c r="A865" s="1"/>
      <c r="C865" s="1"/>
    </row>
    <row r="866" ht="15.75" customHeight="1">
      <c r="A866" s="1"/>
      <c r="C866" s="1"/>
    </row>
    <row r="867" ht="15.75" customHeight="1">
      <c r="A867" s="1"/>
      <c r="C867" s="1"/>
    </row>
    <row r="868" ht="15.75" customHeight="1">
      <c r="A868" s="1"/>
      <c r="C868" s="1"/>
    </row>
    <row r="869" ht="15.75" customHeight="1">
      <c r="A869" s="1"/>
      <c r="C869" s="1"/>
    </row>
    <row r="870" ht="15.75" customHeight="1">
      <c r="A870" s="1"/>
      <c r="C870" s="1"/>
    </row>
    <row r="871" ht="15.75" customHeight="1">
      <c r="A871" s="1"/>
      <c r="C871" s="1"/>
    </row>
    <row r="872" ht="15.75" customHeight="1">
      <c r="A872" s="1"/>
      <c r="C872" s="1"/>
    </row>
    <row r="873" ht="15.75" customHeight="1">
      <c r="A873" s="1"/>
      <c r="C873" s="1"/>
    </row>
    <row r="874" ht="15.75" customHeight="1">
      <c r="A874" s="1"/>
      <c r="C874" s="1"/>
    </row>
    <row r="875" ht="15.75" customHeight="1">
      <c r="A875" s="1"/>
      <c r="C875" s="1"/>
    </row>
    <row r="876" ht="15.75" customHeight="1">
      <c r="A876" s="1"/>
      <c r="C876" s="1"/>
    </row>
    <row r="877" ht="15.75" customHeight="1">
      <c r="A877" s="1"/>
      <c r="C877" s="1"/>
    </row>
    <row r="878" ht="15.75" customHeight="1">
      <c r="A878" s="1"/>
      <c r="C878" s="1"/>
    </row>
    <row r="879" ht="15.75" customHeight="1">
      <c r="A879" s="1"/>
      <c r="C879" s="1"/>
    </row>
    <row r="880" ht="15.75" customHeight="1">
      <c r="A880" s="1"/>
      <c r="C880" s="1"/>
    </row>
    <row r="881" ht="15.75" customHeight="1">
      <c r="A881" s="1"/>
      <c r="C881" s="1"/>
    </row>
    <row r="882" ht="15.75" customHeight="1">
      <c r="A882" s="1"/>
      <c r="C882" s="1"/>
    </row>
    <row r="883" ht="15.75" customHeight="1">
      <c r="A883" s="1"/>
      <c r="C883" s="1"/>
    </row>
    <row r="884" ht="15.75" customHeight="1">
      <c r="A884" s="1"/>
      <c r="C884" s="1"/>
    </row>
    <row r="885" ht="15.75" customHeight="1">
      <c r="A885" s="1"/>
      <c r="C885" s="1"/>
    </row>
    <row r="886" ht="15.75" customHeight="1">
      <c r="A886" s="1"/>
      <c r="C886" s="1"/>
    </row>
    <row r="887" ht="15.75" customHeight="1">
      <c r="A887" s="1"/>
      <c r="C887" s="1"/>
    </row>
    <row r="888" ht="15.75" customHeight="1">
      <c r="A888" s="1"/>
      <c r="C888" s="1"/>
    </row>
    <row r="889" ht="15.75" customHeight="1">
      <c r="A889" s="1"/>
      <c r="C889" s="1"/>
    </row>
    <row r="890" ht="15.75" customHeight="1">
      <c r="A890" s="1"/>
      <c r="C890" s="1"/>
    </row>
    <row r="891" ht="15.75" customHeight="1">
      <c r="A891" s="1"/>
      <c r="C891" s="1"/>
    </row>
    <row r="892" ht="15.75" customHeight="1">
      <c r="A892" s="1"/>
      <c r="C892" s="1"/>
    </row>
    <row r="893" ht="15.75" customHeight="1">
      <c r="A893" s="1"/>
      <c r="C893" s="1"/>
    </row>
    <row r="894" ht="15.75" customHeight="1">
      <c r="A894" s="1"/>
      <c r="C894" s="1"/>
    </row>
    <row r="895" ht="15.75" customHeight="1">
      <c r="A895" s="1"/>
      <c r="C895" s="1"/>
    </row>
    <row r="896" ht="15.75" customHeight="1">
      <c r="A896" s="1"/>
      <c r="C896" s="1"/>
    </row>
    <row r="897" ht="15.75" customHeight="1">
      <c r="A897" s="1"/>
      <c r="C897" s="1"/>
    </row>
    <row r="898" ht="15.75" customHeight="1">
      <c r="A898" s="1"/>
      <c r="C898" s="1"/>
    </row>
    <row r="899" ht="15.75" customHeight="1">
      <c r="A899" s="1"/>
      <c r="C899" s="1"/>
    </row>
    <row r="900" ht="15.75" customHeight="1">
      <c r="A900" s="1"/>
      <c r="C900" s="1"/>
    </row>
    <row r="901" ht="15.75" customHeight="1">
      <c r="A901" s="1"/>
      <c r="C901" s="1"/>
    </row>
    <row r="902" ht="15.75" customHeight="1">
      <c r="A902" s="1"/>
      <c r="C902" s="1"/>
    </row>
    <row r="903" ht="15.75" customHeight="1">
      <c r="A903" s="1"/>
      <c r="C903" s="1"/>
    </row>
    <row r="904" ht="15.75" customHeight="1">
      <c r="A904" s="1"/>
      <c r="C904" s="1"/>
    </row>
    <row r="905" ht="15.75" customHeight="1">
      <c r="A905" s="1"/>
      <c r="C905" s="1"/>
    </row>
    <row r="906" ht="15.75" customHeight="1">
      <c r="A906" s="1"/>
      <c r="C906" s="1"/>
    </row>
    <row r="907" ht="15.75" customHeight="1">
      <c r="A907" s="1"/>
      <c r="C907" s="1"/>
    </row>
    <row r="908" ht="15.75" customHeight="1">
      <c r="A908" s="1"/>
      <c r="C908" s="1"/>
    </row>
    <row r="909" ht="15.75" customHeight="1">
      <c r="A909" s="1"/>
      <c r="C909" s="1"/>
    </row>
    <row r="910" ht="15.75" customHeight="1">
      <c r="A910" s="1"/>
      <c r="C910" s="1"/>
    </row>
    <row r="911" ht="15.75" customHeight="1">
      <c r="A911" s="1"/>
      <c r="C911" s="1"/>
    </row>
    <row r="912" ht="15.75" customHeight="1">
      <c r="A912" s="1"/>
      <c r="C912" s="1"/>
    </row>
    <row r="913" ht="15.75" customHeight="1">
      <c r="A913" s="1"/>
      <c r="C913" s="1"/>
    </row>
    <row r="914" ht="15.75" customHeight="1">
      <c r="A914" s="1"/>
      <c r="C914" s="1"/>
    </row>
    <row r="915" ht="15.75" customHeight="1">
      <c r="A915" s="1"/>
      <c r="C915" s="1"/>
    </row>
    <row r="916" ht="15.75" customHeight="1">
      <c r="A916" s="1"/>
      <c r="C916" s="1"/>
    </row>
    <row r="917" ht="15.75" customHeight="1">
      <c r="A917" s="1"/>
      <c r="C917" s="1"/>
    </row>
    <row r="918" ht="15.75" customHeight="1">
      <c r="A918" s="1"/>
      <c r="C918" s="1"/>
    </row>
    <row r="919" ht="15.75" customHeight="1">
      <c r="A919" s="1"/>
      <c r="C919" s="1"/>
    </row>
    <row r="920" ht="15.75" customHeight="1">
      <c r="A920" s="1"/>
      <c r="C920" s="1"/>
    </row>
    <row r="921" ht="15.75" customHeight="1">
      <c r="A921" s="1"/>
      <c r="C921" s="1"/>
    </row>
    <row r="922" ht="15.75" customHeight="1">
      <c r="A922" s="1"/>
      <c r="C922" s="1"/>
    </row>
    <row r="923" ht="15.75" customHeight="1">
      <c r="A923" s="1"/>
      <c r="C923" s="1"/>
    </row>
    <row r="924" ht="15.75" customHeight="1">
      <c r="A924" s="1"/>
      <c r="C924" s="1"/>
    </row>
    <row r="925" ht="15.75" customHeight="1">
      <c r="A925" s="1"/>
      <c r="C925" s="1"/>
    </row>
    <row r="926" ht="15.75" customHeight="1">
      <c r="A926" s="1"/>
      <c r="C926" s="1"/>
    </row>
    <row r="927" ht="15.75" customHeight="1">
      <c r="A927" s="1"/>
      <c r="C927" s="1"/>
    </row>
    <row r="928" ht="15.75" customHeight="1">
      <c r="A928" s="1"/>
      <c r="C928" s="1"/>
    </row>
    <row r="929" ht="15.75" customHeight="1">
      <c r="A929" s="1"/>
      <c r="C929" s="1"/>
    </row>
    <row r="930" ht="15.75" customHeight="1">
      <c r="A930" s="1"/>
      <c r="C930" s="1"/>
    </row>
    <row r="931" ht="15.75" customHeight="1">
      <c r="A931" s="1"/>
      <c r="C931" s="1"/>
    </row>
    <row r="932" ht="15.75" customHeight="1">
      <c r="A932" s="1"/>
      <c r="C932" s="1"/>
    </row>
    <row r="933" ht="15.75" customHeight="1">
      <c r="A933" s="1"/>
      <c r="C933" s="1"/>
    </row>
    <row r="934" ht="15.75" customHeight="1">
      <c r="A934" s="1"/>
      <c r="C934" s="1"/>
    </row>
    <row r="935" ht="15.75" customHeight="1">
      <c r="A935" s="1"/>
      <c r="C935" s="1"/>
    </row>
    <row r="936" ht="15.75" customHeight="1">
      <c r="A936" s="1"/>
      <c r="C936" s="1"/>
    </row>
    <row r="937" ht="15.75" customHeight="1">
      <c r="A937" s="1"/>
      <c r="C937" s="1"/>
    </row>
    <row r="938" ht="15.75" customHeight="1">
      <c r="A938" s="1"/>
      <c r="C938" s="1"/>
    </row>
    <row r="939" ht="15.75" customHeight="1">
      <c r="A939" s="1"/>
      <c r="C939" s="1"/>
    </row>
    <row r="940" ht="15.75" customHeight="1">
      <c r="A940" s="1"/>
      <c r="C940" s="1"/>
    </row>
    <row r="941" ht="15.75" customHeight="1">
      <c r="A941" s="1"/>
      <c r="C941" s="1"/>
    </row>
    <row r="942" ht="15.75" customHeight="1">
      <c r="A942" s="1"/>
      <c r="C942" s="1"/>
    </row>
    <row r="943" ht="15.75" customHeight="1">
      <c r="A943" s="1"/>
      <c r="C943" s="1"/>
    </row>
    <row r="944" ht="15.75" customHeight="1">
      <c r="A944" s="1"/>
      <c r="C944" s="1"/>
    </row>
    <row r="945" ht="15.75" customHeight="1">
      <c r="A945" s="1"/>
      <c r="C945" s="1"/>
    </row>
    <row r="946" ht="15.75" customHeight="1">
      <c r="A946" s="1"/>
      <c r="C946" s="1"/>
    </row>
    <row r="947" ht="15.75" customHeight="1">
      <c r="A947" s="1"/>
      <c r="C947" s="1"/>
    </row>
    <row r="948" ht="15.75" customHeight="1">
      <c r="A948" s="1"/>
      <c r="C948" s="1"/>
    </row>
    <row r="949" ht="15.75" customHeight="1">
      <c r="A949" s="1"/>
      <c r="C949" s="1"/>
    </row>
    <row r="950" ht="15.75" customHeight="1">
      <c r="A950" s="1"/>
      <c r="C950" s="1"/>
    </row>
    <row r="951" ht="15.75" customHeight="1">
      <c r="A951" s="1"/>
      <c r="C951" s="1"/>
    </row>
    <row r="952" ht="15.75" customHeight="1">
      <c r="A952" s="1"/>
      <c r="C952" s="1"/>
    </row>
    <row r="953" ht="15.75" customHeight="1">
      <c r="A953" s="1"/>
      <c r="C953" s="1"/>
    </row>
    <row r="954" ht="15.75" customHeight="1">
      <c r="A954" s="1"/>
      <c r="C954" s="1"/>
    </row>
    <row r="955" ht="15.75" customHeight="1">
      <c r="A955" s="1"/>
      <c r="C955" s="1"/>
    </row>
    <row r="956" ht="15.75" customHeight="1">
      <c r="A956" s="1"/>
      <c r="C956" s="1"/>
    </row>
    <row r="957" ht="15.75" customHeight="1">
      <c r="A957" s="1"/>
      <c r="C957" s="1"/>
    </row>
    <row r="958" ht="15.75" customHeight="1">
      <c r="A958" s="1"/>
      <c r="C958" s="1"/>
    </row>
    <row r="959" ht="15.75" customHeight="1">
      <c r="A959" s="1"/>
      <c r="C959" s="1"/>
    </row>
    <row r="960" ht="15.75" customHeight="1">
      <c r="A960" s="1"/>
      <c r="C960" s="1"/>
    </row>
    <row r="961" ht="15.75" customHeight="1">
      <c r="A961" s="1"/>
      <c r="C961" s="1"/>
    </row>
    <row r="962" ht="15.75" customHeight="1">
      <c r="A962" s="1"/>
      <c r="C962" s="1"/>
    </row>
    <row r="963" ht="15.75" customHeight="1">
      <c r="A963" s="1"/>
      <c r="C963" s="1"/>
    </row>
    <row r="964" ht="15.75" customHeight="1">
      <c r="A964" s="1"/>
      <c r="C964" s="1"/>
    </row>
    <row r="965" ht="15.75" customHeight="1">
      <c r="A965" s="1"/>
      <c r="C965" s="1"/>
    </row>
    <row r="966" ht="15.75" customHeight="1">
      <c r="A966" s="1"/>
      <c r="C966" s="1"/>
    </row>
    <row r="967" ht="15.75" customHeight="1">
      <c r="A967" s="1"/>
      <c r="C967" s="1"/>
    </row>
    <row r="968" ht="15.75" customHeight="1">
      <c r="A968" s="1"/>
      <c r="C968" s="1"/>
    </row>
    <row r="969" ht="15.75" customHeight="1">
      <c r="A969" s="1"/>
      <c r="C969" s="1"/>
    </row>
    <row r="970" ht="15.75" customHeight="1">
      <c r="A970" s="1"/>
      <c r="C970" s="1"/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30"/>
    <hyperlink r:id="rId17" ref="B42"/>
    <hyperlink r:id="rId18" ref="B62"/>
    <hyperlink r:id="rId19" ref="R62"/>
    <hyperlink r:id="rId20" ref="B65"/>
    <hyperlink r:id="rId21" ref="R65"/>
    <hyperlink r:id="rId22" ref="B68"/>
    <hyperlink r:id="rId23" ref="R68"/>
    <hyperlink r:id="rId24" ref="B71"/>
    <hyperlink r:id="rId25" ref="R71"/>
    <hyperlink r:id="rId26" ref="B73"/>
    <hyperlink r:id="rId27" ref="R73"/>
    <hyperlink r:id="rId28" ref="B74"/>
    <hyperlink r:id="rId29" ref="R74"/>
    <hyperlink r:id="rId30" ref="B77"/>
    <hyperlink r:id="rId31" ref="R77"/>
    <hyperlink r:id="rId32" ref="B78"/>
    <hyperlink r:id="rId33" ref="R78"/>
    <hyperlink r:id="rId34" ref="B86"/>
    <hyperlink r:id="rId35" ref="R86"/>
    <hyperlink r:id="rId36" ref="B88"/>
    <hyperlink r:id="rId37" ref="R88"/>
    <hyperlink r:id="rId38" ref="B91"/>
    <hyperlink r:id="rId39" ref="R91"/>
    <hyperlink r:id="rId40" ref="B98"/>
    <hyperlink r:id="rId41" ref="R98"/>
    <hyperlink r:id="rId42" ref="B100"/>
    <hyperlink r:id="rId43" ref="R100"/>
  </hyperlinks>
  <printOptions/>
  <pageMargins bottom="0.75" footer="0.0" header="0.0" left="0.7" right="0.7" top="0.75"/>
  <pageSetup orientation="landscape"/>
  <drawing r:id="rId4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2025-11-03T04:49:04Z</dcterms:created>
</cp:coreProperties>
</file>